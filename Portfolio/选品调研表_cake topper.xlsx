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/>
  </bookViews>
  <sheets>
    <sheet name="市场分析" sheetId="12" r:id="rId1"/>
    <sheet name="数据源" sheetId="1" r:id="rId2"/>
  </sheets>
  <definedNames>
    <definedName name="_xlnm._FilterDatabase" localSheetId="1" hidden="1">数据源!$A$2:$O$50</definedName>
  </definedNames>
  <calcPr calcId="191029"/>
  <pivotCaches>
    <pivotCache cacheId="0" r:id="rId3"/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<sst xmlns="http://schemas.openxmlformats.org/spreadsheetml/2006/main" count="405" uniqueCount="247">
  <si>
    <t>市场趋势及分析</t>
  </si>
  <si>
    <t>品牌</t>
  </si>
  <si>
    <t>求和项:日销量</t>
  </si>
  <si>
    <t>求和项:月销量</t>
  </si>
  <si>
    <t>求和项:月销售额</t>
  </si>
  <si>
    <t>计数项:ASIN</t>
  </si>
  <si>
    <t>市场份额</t>
  </si>
  <si>
    <t>ASTARON</t>
  </si>
  <si>
    <t>BACH AND BOUJEE</t>
  </si>
  <si>
    <t>BANBALLON</t>
  </si>
  <si>
    <t>BEISHIDA</t>
  </si>
  <si>
    <t>Bluey</t>
  </si>
  <si>
    <t>Chinco</t>
  </si>
  <si>
    <t>Colingmill</t>
  </si>
  <si>
    <t>DecoPac</t>
  </si>
  <si>
    <t>EBWHOLE</t>
  </si>
  <si>
    <t>Ephlyn</t>
  </si>
  <si>
    <t>Ercadio</t>
  </si>
  <si>
    <t>Florcmet</t>
  </si>
  <si>
    <t>Genasce</t>
  </si>
  <si>
    <t>glahorse</t>
  </si>
  <si>
    <t>Gyufise</t>
  </si>
  <si>
    <t>Handmade</t>
  </si>
  <si>
    <t>Hazyore</t>
  </si>
  <si>
    <t>JOGILBOY</t>
  </si>
  <si>
    <t>Keaziu</t>
  </si>
  <si>
    <t>KIGEAPUEL</t>
  </si>
  <si>
    <t>LEQDO</t>
  </si>
  <si>
    <t>LetsCake</t>
  </si>
  <si>
    <t>LMHRZH</t>
  </si>
  <si>
    <t>Losede</t>
  </si>
  <si>
    <t>Moitkptt</t>
  </si>
  <si>
    <t>NatNarr</t>
  </si>
  <si>
    <t>Pistha</t>
  </si>
  <si>
    <t>QZYL</t>
  </si>
  <si>
    <t>Seyal</t>
  </si>
  <si>
    <t>Sleyberoy</t>
  </si>
  <si>
    <t>SPFYunion</t>
  </si>
  <si>
    <t>V TOWER</t>
  </si>
  <si>
    <t>VINCREY</t>
  </si>
  <si>
    <t>WOW DING</t>
  </si>
  <si>
    <t>YEEFIGRO</t>
  </si>
  <si>
    <t>Yerliker</t>
  </si>
  <si>
    <t>Zafena</t>
  </si>
  <si>
    <t>ZHENGYE</t>
  </si>
  <si>
    <t>ZHUOWEISM</t>
  </si>
  <si>
    <t>总计</t>
  </si>
  <si>
    <t>价格</t>
  </si>
  <si>
    <t>4-7</t>
  </si>
  <si>
    <t>7-10</t>
  </si>
  <si>
    <t>10-13</t>
  </si>
  <si>
    <t>13-16</t>
  </si>
  <si>
    <t>16-19</t>
  </si>
  <si>
    <t>19-22</t>
  </si>
  <si>
    <t>评分</t>
  </si>
  <si>
    <t>3.5-4</t>
  </si>
  <si>
    <t>4-4.5</t>
  </si>
  <si>
    <t>4.5-5</t>
  </si>
  <si>
    <t>评论数区间</t>
  </si>
  <si>
    <t>求和项:求和项:日销量</t>
  </si>
  <si>
    <t>求和项:求和项:月销量</t>
  </si>
  <si>
    <t>求和项:求和项:月销售额</t>
  </si>
  <si>
    <t>求和项:计数项:ASIN</t>
  </si>
  <si>
    <t>&lt;100</t>
  </si>
  <si>
    <t>100-499</t>
  </si>
  <si>
    <t>500-999</t>
  </si>
  <si>
    <t>1000-1999</t>
  </si>
  <si>
    <t>&gt;2000</t>
  </si>
  <si>
    <t>1. 整体市场结论</t>
  </si>
  <si>
    <t>2. 目前竞争格局</t>
  </si>
  <si>
    <t>3. 细分市场--价位段</t>
  </si>
  <si>
    <t>4. 外观设计情况</t>
  </si>
  <si>
    <t>4. RV和Rating情况</t>
  </si>
  <si>
    <t>Top48产品平均月销量约1087件，头部产品月销量达到11,373件，说明市场需求较为旺盛。</t>
  </si>
  <si>
    <t>从品牌数据来看：DecoPac、BlueyGenasce、Handmade、QZYL、WOW DING，均有产品进入Top榜单。</t>
  </si>
  <si>
    <t>数据还显示：平均售价：9.45 USD，价格中位数：8.99 USD；说明：目前市场主要集中在6.99–9.99 USD这一价格区间。</t>
  </si>
  <si>
    <r>
      <t>主题设计：占比较高：Graduation、Birthday、Baby Shower、Wedding、Butterfly、Bluey（IP主题）；说明：消费者更关注</t>
    </r>
    <r>
      <rPr>
        <sz val="11"/>
        <color rgb="FFFF0000"/>
        <rFont val="微软雅黑"/>
        <charset val="134"/>
      </rPr>
      <t>主题化设计</t>
    </r>
    <r>
      <rPr>
        <sz val="11"/>
        <rFont val="微软雅黑"/>
        <charset val="134"/>
      </rPr>
      <t>，而不是单纯造型。</t>
    </r>
  </si>
  <si>
    <r>
      <t>Review：平均Review数：886，最高：7958，最低：6；说明：市场竞争较成熟。</t>
    </r>
    <r>
      <rPr>
        <sz val="11"/>
        <color rgb="FFFF0000"/>
        <rFont val="微软雅黑"/>
        <charset val="134"/>
      </rPr>
      <t>新品一般需要：300~500 Review，才具有一定竞争力。</t>
    </r>
  </si>
  <si>
    <r>
      <t>Top10产品月销量明显领先，其余产品销量较为分散，</t>
    </r>
    <r>
      <rPr>
        <sz val="11"/>
        <color rgb="FFFF0000"/>
        <rFont val="微软雅黑"/>
        <charset val="134"/>
      </rPr>
      <t>属于"头部爆款+长尾产品"并存的市场。</t>
    </r>
  </si>
  <si>
    <r>
      <t>虽然DecoPac月销售额最高，但市场份额仅约15%左右，没有品牌形成绝对垄断。</t>
    </r>
    <r>
      <rPr>
        <sz val="11"/>
        <color rgb="FFFF0000"/>
        <rFont val="微软雅黑"/>
        <charset val="134"/>
      </rPr>
      <t>说明：市场进入门槛不高；新品牌仍有机会通过差异化设计进入市场。</t>
    </r>
  </si>
  <si>
    <r>
      <t>建议新品：</t>
    </r>
    <r>
      <rPr>
        <sz val="11"/>
        <color rgb="FFFF0000"/>
        <rFont val="微软雅黑"/>
        <charset val="134"/>
      </rPr>
      <t>售价8.99~10.99 USD</t>
    </r>
    <r>
      <rPr>
        <sz val="11"/>
        <rFont val="微软雅黑"/>
        <charset val="134"/>
      </rPr>
      <t>，竞争压力最小。</t>
    </r>
  </si>
  <si>
    <r>
      <t>材质主要包括：Acrylic（亚克力）、Glitter Card（闪粉卡纸）、Plastic（塑料）、Paper（纸质）；其中：</t>
    </r>
    <r>
      <rPr>
        <sz val="11"/>
        <color rgb="FFFF0000"/>
        <rFont val="微软雅黑"/>
        <charset val="134"/>
      </rPr>
      <t>Acrylic逐渐成为高端产品主要材质。</t>
    </r>
    <r>
      <rPr>
        <sz val="11"/>
        <rFont val="微软雅黑"/>
        <charset val="134"/>
      </rPr>
      <t xml:space="preserve">
颜色：目前市场：Gold、Black Gold、Rose Gold、Pink、Blue；</t>
    </r>
    <r>
      <rPr>
        <sz val="11"/>
        <color rgb="FFFF0000"/>
        <rFont val="微软雅黑"/>
        <charset val="134"/>
      </rPr>
      <t>Gold仍然占据主流。</t>
    </r>
  </si>
  <si>
    <r>
      <t>Rating：统计结果：平均评分：4.60，中位数：4.70，最高：4.90，最低：3.50；可以看出：多数畅销产品评分保持在4.6~4.8之间。因此：</t>
    </r>
    <r>
      <rPr>
        <sz val="11"/>
        <color rgb="FFFF0000"/>
        <rFont val="微软雅黑"/>
        <charset val="134"/>
      </rPr>
      <t>若新品评分低于4.5，竞争力会明显下降。</t>
    </r>
  </si>
  <si>
    <t>产品主要应用于生日、毕业、婚礼、Baby Shower、卡通主题派对等场景，消费具有明显的节庆属性，但全年仍保持持续需求。</t>
  </si>
  <si>
    <r>
      <t>竞争主要集中在：</t>
    </r>
    <r>
      <rPr>
        <sz val="11"/>
        <color rgb="FFFF0000"/>
        <rFont val="微软雅黑"/>
        <charset val="134"/>
      </rPr>
      <t>外观设计、节日主题、Bundle组合、图片展示、Review数量</t>
    </r>
    <r>
      <rPr>
        <sz val="11"/>
        <rFont val="微软雅黑"/>
        <charset val="134"/>
      </rPr>
      <t>，而不是价格竞争。</t>
    </r>
  </si>
  <si>
    <t>套装数量：目前产品：24PCS、36PCS、48PCS、60PCS；说明：消费者越来越倾向于购买Bundle。
建议开发：Acrylic、Rose Gold、Personalized、Bundle；提升产品差异化。</t>
  </si>
  <si>
    <t>高评分产品通常具备：设计美观、材质牢固、包装完整、颜色一致、易于安装。
低评分产品常见问题包括：材质过薄、包装导致弯折、尺寸偏小、实物颜色与图片不符、做工粗糙。</t>
  </si>
  <si>
    <t>Cake Toppers</t>
  </si>
  <si>
    <t>排名</t>
  </si>
  <si>
    <t>大类排名</t>
  </si>
  <si>
    <t>ASIN</t>
  </si>
  <si>
    <t>商品</t>
  </si>
  <si>
    <t>分类</t>
  </si>
  <si>
    <t>月销量</t>
  </si>
  <si>
    <t>日销量</t>
  </si>
  <si>
    <t>月销售额</t>
  </si>
  <si>
    <t>评论数</t>
  </si>
  <si>
    <t>上架日期</t>
  </si>
  <si>
    <t>上架天数</t>
  </si>
  <si>
    <t>发货方式</t>
  </si>
  <si>
    <t>B0DSDLBRL1</t>
  </si>
  <si>
    <t>48 PCS Graduation Cupcake Toppers, 6 Styles Congrats Grad Cake Topper, Black and Gold Graduation Decorations 2026, Glittery Cap and Diploma Cake Picks for Grad Party Decor Supplies</t>
  </si>
  <si>
    <t>Toys &amp; Games</t>
  </si>
  <si>
    <t>Jan 7, 2025</t>
  </si>
  <si>
    <t>FBA</t>
  </si>
  <si>
    <t>B0BX7CN2H6</t>
  </si>
  <si>
    <t>Plastic Graduation Cap Cake Topper with Large Paper Diploma Cake Topper (Black)</t>
  </si>
  <si>
    <t>Mar 2, 2023</t>
  </si>
  <si>
    <t>B0CC2BS6CL</t>
  </si>
  <si>
    <t>DecoPac Bluey So Much Fun Rings, 24 Cupcake Decorations Featuring Bluey, Bingo, Bandit, and Chilli, 3D Food Safe Cake Toppers – 24 Pack</t>
  </si>
  <si>
    <t>Jun 30, 2023</t>
  </si>
  <si>
    <t>AMZ</t>
  </si>
  <si>
    <t>B098QSSX8K</t>
  </si>
  <si>
    <t>60Pcs Butterfly Cupcake Topper Pink Purple Gold, Lively 3D Butterflies for Cake Decor Birthday Anniversary Kids Wedding Girl Women Party Wall Food Decorations, Mixed Size</t>
  </si>
  <si>
    <t>Jul 6, 2021</t>
  </si>
  <si>
    <t>B07L69W246</t>
  </si>
  <si>
    <t>6-Pack Gold Cake Topper Set, Double-Sided Glitter, Acrylic Happy Birthday Cupcake Toppers, Birthday Decorations for Children or Adults.</t>
  </si>
  <si>
    <t>Dec 6, 2018</t>
  </si>
  <si>
    <t>B0GGHW8X47</t>
  </si>
  <si>
    <t>2026 Graduation Cupcake Toppers 48 Pack, Pre-Assembled Food &amp; Appetizer Picks, Black Gold Grad Cap &amp; Diploma Cupcake Decorations for Graduation Party</t>
  </si>
  <si>
    <t>Jan 13, 2026</t>
  </si>
  <si>
    <t>B0CFG61KCY</t>
  </si>
  <si>
    <t>DecoPac Paw Patrol Reporting For Duty Rings, Cupcake Decorations Featuring Chase, Marshall, Skye, And Rubble - 24 Pack</t>
  </si>
  <si>
    <t>Jun 5, 2023</t>
  </si>
  <si>
    <t>B0B8YZQP2J</t>
  </si>
  <si>
    <t>26 PCS Dinosaur Cake Toppers With Dinosaur Eggs Leaves Trees Cake Decorations For Birthday Party, dinosaur Themed party, Wild Animals Party, Kids Party Cake Decorations</t>
  </si>
  <si>
    <t>Aug 8, 2022</t>
  </si>
  <si>
    <t>B09ZD6W95Y</t>
  </si>
  <si>
    <t>28 PCS Soccer Cake Topper Soccer Ball Player Cake Decorations for Soccer Birthday Party Sport Party Supplies</t>
  </si>
  <si>
    <t>May 3, 2022</t>
  </si>
  <si>
    <t>B0FN7S2C4K</t>
  </si>
  <si>
    <t>25pcs Demon Hunters Cake Decorations with 24pcs Cupcake Toppers, 1pcs Cake Topper for Demon Hunters Birthday Party Supplies Kids Birthday Decorations</t>
  </si>
  <si>
    <t>Aug 21, 2025</t>
  </si>
  <si>
    <t>B0FXQMP58X</t>
  </si>
  <si>
    <t>16Pcs Cute Anime Cake Decorations with 15pcs Cupcake Toppers, 1pcs Happy Birthday Cake Topper, Cartoon Themed Party Supplies, Perfect for Birthday Party Decorations</t>
  </si>
  <si>
    <t>Oct 25, 2025</t>
  </si>
  <si>
    <t>B085VX6GCG</t>
  </si>
  <si>
    <t>DIY Happy birthday Cake Topper Black Acrylic</t>
  </si>
  <si>
    <t>Mar 13, 2020</t>
  </si>
  <si>
    <t>B0B2449D7M</t>
  </si>
  <si>
    <t>Pistha 18 Pieces Soccer Cake Topper Decorations Soccer Ball Cupcake Topper Soccer Player figure for Soccer Birthday Party Sport Party Football Theme Party Supplies for Men Boy</t>
  </si>
  <si>
    <t>May 24, 2022</t>
  </si>
  <si>
    <t>B0FY6J338N</t>
  </si>
  <si>
    <t>Cute Anime Cake Decorations, Cartoon Happy Birthday Cake Topper, Party Cake Decorations Supplies for Girls</t>
  </si>
  <si>
    <t>Oct 29, 2025</t>
  </si>
  <si>
    <t>B0CWRRQGH2</t>
  </si>
  <si>
    <t>DecoPac Sonic the Hedgehog Rings, Cupcake Decorations Featuring Sonic, Tails, and Shadow - 24 Pack</t>
  </si>
  <si>
    <t>Feb 10, 2024</t>
  </si>
  <si>
    <t>B093LQST7K</t>
  </si>
  <si>
    <t>36 PCS 2026 Graduation Theme Cupcake Toppers Glitter Class of 2026 Grad Cap Diploma Cupcake Picks 2026 Graduation Theme Party Cake Decorations Supplies Red</t>
  </si>
  <si>
    <t>Apr 1, 2021</t>
  </si>
  <si>
    <t>B0CQTYFD7K</t>
  </si>
  <si>
    <t>Wedding Cake Toppers, Wedding Cake Toppers Bride and Groom, Custom Cake Topper, Customize Your Own Anniversary Mr and Mrs Cake Topper</t>
  </si>
  <si>
    <t>Dec 23, 2023</t>
  </si>
  <si>
    <t>MFN</t>
  </si>
  <si>
    <t>B0BWR8ZDPZ</t>
  </si>
  <si>
    <t>Gold Birthday Cake Topper, 6pcs Acrylic Birthday Cake Toppers Happy Birth Cake Toppers for Decorations Gold Topper for Girls Women's Party Decorations</t>
  </si>
  <si>
    <t>Feb 24, 2023</t>
  </si>
  <si>
    <t>B0BXPYW7ZW</t>
  </si>
  <si>
    <t>DecoSet® Bluey Dance Mode Cake Toppers, 3 Piece Cake Decoration With Bluey And Bingo Figurines and Muffin &amp; Socks Poly Pic, For Birthday, Parties, Celebration</t>
  </si>
  <si>
    <t>Feb 11, 2023</t>
  </si>
  <si>
    <t>B0F6MLKV8D</t>
  </si>
  <si>
    <t>21pcs Mermaid Cake Topper - Mermaid Tail Cake Decorations with Seaweed Shells Starfish Coralal Under the Sea Cake Decorations for Birthday Party Decorations (Pink Purple)</t>
  </si>
  <si>
    <t>Jun 23, 2025</t>
  </si>
  <si>
    <t>B09TVLCZH2</t>
  </si>
  <si>
    <t>JOGILBOY 10 Pcs Happy Birthday Cake Toppers Foil Firework Cupcake Toppers Sparkle Tinsel Drink Stirrers Flowers Cake Decoration Cocktail Food Fruit Toothpick for Cake Decoration Party Supplies</t>
  </si>
  <si>
    <t>Mar 4, 2022</t>
  </si>
  <si>
    <t>B0F23PF5TL</t>
  </si>
  <si>
    <t>24Pcs Christmas Cupcake Toppers, Merry Christmas Foil Firework Cupcake Toppers Tinsel Drink Picks Winter Supplies Favor</t>
  </si>
  <si>
    <t>Mar 21, 2025</t>
  </si>
  <si>
    <t>B0F3788YWD</t>
  </si>
  <si>
    <t>Beach Seashells Cake Decorations Under the Sea Cake Topper Under the Sea Birthday Party Decorations Starfish Shells Ocean Cake Topper Summer Beach Party Supplies</t>
  </si>
  <si>
    <t>Apr 1, 2025</t>
  </si>
  <si>
    <t>B0CN18NSSB</t>
  </si>
  <si>
    <t>Yerliker 34 Pcs Happy Birthday Cake Toppers Decorations Birthday Candles DIY Cake Decor for Men Women Wedding Anniversary(Gold)</t>
  </si>
  <si>
    <t>Nov 9, 2023</t>
  </si>
  <si>
    <t>B098LTBZ8F</t>
  </si>
  <si>
    <t>Gyufise He Asked She Said Yes Cupcake Toppers Gold Glitter Diamond Ring Heart Love Cake Picks for Wedding Engagement Party Cake Decorations 24 Pack</t>
  </si>
  <si>
    <t>Jul 1, 2021</t>
  </si>
  <si>
    <t>B0BXQ4WDH7</t>
  </si>
  <si>
    <t>DecoSet® Mobs Beware Minecraft Cake Topper, 6-Piece Stackable Cake Decoration, Interlocking 3D Blocks With Characters, Food Safe Birthday Cake Decoration</t>
  </si>
  <si>
    <t>Feb 4, 2023</t>
  </si>
  <si>
    <t>B0B4S175TY</t>
  </si>
  <si>
    <t>Sleyberoy golden Glitter Happy 50th Anniversary Cake Toppers -Wedding Anniversary Party Decorations, 50th Wedding Anniversary, Company Anniversary Party, Birthday Party Decorations</t>
  </si>
  <si>
    <t>Mar 7, 2022</t>
  </si>
  <si>
    <t>B0D4PB81KL</t>
  </si>
  <si>
    <t>19pcs Safari Animal Cake Topper - Jungle Wild Cake Toppers with Leaves Balls Cake Decorations for Safari Animals Themed Birthday Party Decorations (Safari Animal Style)</t>
  </si>
  <si>
    <t>Jul 26, 2024</t>
  </si>
  <si>
    <t>B0G64JZBV5</t>
  </si>
  <si>
    <t>24Pcs Graduation Cupcake Toppers, Black and Blue Graduation Decorations Class of 2026 Cupcake Toppers (Black Blue)</t>
  </si>
  <si>
    <t>Dec 10, 2025</t>
  </si>
  <si>
    <t>B0G2RYC5DB</t>
  </si>
  <si>
    <t>Ercadio 30pcs Glitter Black Jazz Dance Cupcake Topper Jazz Music Cupcake Picks Dancer Silhouette Cake Picks for Jazzist Birthday Cupcake Decorations Pop Music Dancing Anniversary Party Supplies</t>
  </si>
  <si>
    <t>Nov 18, 2025</t>
  </si>
  <si>
    <t>B0D91VYWXF</t>
  </si>
  <si>
    <t>66 PCS Ball Cake Picks Gold 4 Sizes for DIY Baking Decoration Cupcake Toppers and Wedding Anniversary Birthday</t>
  </si>
  <si>
    <t>Jul 8, 2024</t>
  </si>
  <si>
    <t>B0GR96L5CB</t>
  </si>
  <si>
    <t>NatNarr 30PCS Black Bows for Cake Bow Cake Topper Pretied Ribbon Bow Cupcake Toppers - Ready to Use for Birthday Wedding Baby Shower Graduation Dessert Display Decorations Simple Elegant Style</t>
  </si>
  <si>
    <t>Mar 5, 2026</t>
  </si>
  <si>
    <t>B0GWDQZT8M</t>
  </si>
  <si>
    <t>Demon Movie Hunters Birthday Cake Topper, Cute Cake Decorations Include 1Pcs Happy Birthday Cake Topper and 24Pcs Cupcake Topper for Cartoon Party Decorations</t>
  </si>
  <si>
    <t>Apr 7, 2026</t>
  </si>
  <si>
    <t>B0B4K8CHD9</t>
  </si>
  <si>
    <t>"Bby Shrk Cupcake Toppers – Cute Party Decorations for Bby Shrk-Themed Birthdays – Fun &amp; Colorful Cake Toppers for Birthday Parties – Multicolor Set of 24"</t>
  </si>
  <si>
    <t>Jun 20, 2022</t>
  </si>
  <si>
    <t>B0D3TBNFGB</t>
  </si>
  <si>
    <t>BEISHIDA 40 Pcs Mini Balls Cake Toppers - Foam Balls DIY Cake Topper Inserts for Birthday Wedding Baby Shower Anniversary Cake Decorations (Red Blue Yellow Green)</t>
  </si>
  <si>
    <t>May 10, 2024</t>
  </si>
  <si>
    <t>B0DLH8BFJ8</t>
  </si>
  <si>
    <t>Easy Adjusting Gamer Cake Topper with Eye-Catching Design - 5.1"x5.9" Video Game Cake Topper Happy Birthday, Made from Cardboard with Sturdy Plastic Stick - Boy &amp; Girl Gamer Birthday Party Decorations</t>
  </si>
  <si>
    <t>Nov 30, 2024</t>
  </si>
  <si>
    <t>B0CQN54FN9</t>
  </si>
  <si>
    <t>Gold Glitter Happy 70th Birthday Cake Topper - Cheers to 70 Years Cake Topper, 70 &amp; Fabulous Cake Decoration for Hello 70th Birthday Anniversary Party Cake Decorations Supplies</t>
  </si>
  <si>
    <t>Dec 19, 2023</t>
  </si>
  <si>
    <t>B0FQ67BQK7</t>
  </si>
  <si>
    <t>24PCS Cartoon Cake Toppers Cupcake Toppers Cake Decorations Birthday Party Supplies Decorations (Style 3)</t>
  </si>
  <si>
    <t>Sep 8, 2025</t>
  </si>
  <si>
    <t>B0GSVLW65T</t>
  </si>
  <si>
    <t>Cartoon cake topper Figures Set 6Pcs Cartoon cake decorations for party supplier birthday</t>
  </si>
  <si>
    <t>Sep 6, 2025</t>
  </si>
  <si>
    <t>B09TFB7Y9L</t>
  </si>
  <si>
    <t>Chinco 100 Pcs 4th of July Foil Firework Cupcake Toppers Sparkle Tinsel Cake Toppers Cake Decoration Cocktail Fruit Toothpick for Birthday Wedding Graduation Party, Silver, Red, Blue</t>
  </si>
  <si>
    <t>Feb 25, 2022</t>
  </si>
  <si>
    <t>B0FGJ6MS89</t>
  </si>
  <si>
    <t>Birthday Cake Toppers, Cute Mouse Cake Decorations, Cartoon Themed Cupcake Topper, Birthday Party Supplies (Pink)</t>
  </si>
  <si>
    <t>Jul 3, 2025</t>
  </si>
  <si>
    <t>B0D1KDQH7W</t>
  </si>
  <si>
    <t>One Cake Topper Red &amp; White &amp; Blue Glitter- 4th of July 1st Birthday Decorations, 4th of July Baby Shower Decor/American National Independence Day Theme 1st Birthday Party Cake Decorations Supplies</t>
  </si>
  <si>
    <t>Apr 12, 2024</t>
  </si>
  <si>
    <t>B0D27G2XPD</t>
  </si>
  <si>
    <t>1 PCS Happy Birthday Cake Topper Glitter Cake Pick for Celebrating Anniversary Theme Party Cake Decorations Supplies Light Pink</t>
  </si>
  <si>
    <t>Apr 20, 2024</t>
  </si>
  <si>
    <t>B0FH4MDB29</t>
  </si>
  <si>
    <t>10PCS Artificial Hibiscus Flower Cake Toppers Hawaii Pink Hibiscus Cake Decors for Hawaii Theme Birthday Bridal Engagement Wedding Floral Cake Picks Summer Holiday Party Decoration</t>
  </si>
  <si>
    <t>Jul 9, 2025</t>
  </si>
  <si>
    <t>B0C53T76PX</t>
  </si>
  <si>
    <t>ASTARON 32 Pcs Ball Cake Topper Decorations Mini Balloons Cake Topper Sticks Foam Balls Cake Picks Cake Topper Balls Cake Decorations for Wedding Party Birthday Cake Decorating (Pink Gold)</t>
  </si>
  <si>
    <t>May 13, 2023</t>
  </si>
  <si>
    <t>B0FQ67VXBL</t>
  </si>
  <si>
    <t>25PCS Cake Toppers Cupcake Toppers Cake Decorations Birthday Party Supplies Decorations (Style 9)</t>
  </si>
  <si>
    <t>B0F1G2Q8HB</t>
  </si>
  <si>
    <t>Colingmill 18 Pcs Cat Cake Toppers Figurine Hat Birthday Party Decorations</t>
  </si>
  <si>
    <t>Mar 14, 2025</t>
  </si>
  <si>
    <t>B0CJB8QR67</t>
  </si>
  <si>
    <t>1Pc Happy 80th Birthday Cake Topper Black Gold Glitter Cheers to 80 Years Cake Pick 80th Birthday Cake Decoration for Happy 80th Birthday Anniversary Party Supplies</t>
  </si>
  <si>
    <t>Sep 19, 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</si>
</sst>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 "/>
    <numFmt numFmtId="178" formatCode="0.00_ "/>
    <numFmt numFmtId="179" formatCode="0.00_);[Red]\(0.00\)"/>
    <numFmt numFmtId="180" formatCode="0.00_);[Red]\(0.00\)"/>
    <numFmt numFmtId="181" formatCode="0.00_);[Red]\(0.00\)"/>
  </numFmts>
  <fonts count="29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b/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rgb="FFFF0000"/>
      <name val="微软雅黑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8" fillId="0" borderId="0"/>
  </cellStyleXfs>
  <cellXfs count="3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/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>
      <alignment vertical="center"/>
    </xf>
    <xf numFmtId="0" fontId="3" fillId="2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>
      <alignment vertical="center"/>
    </xf>
    <xf numFmtId="0" fontId="0" fillId="0" borderId="0" xfId="0" applyFont="1" applyFill="1" applyAlignment="1"/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justify" vertical="center" wrapText="1"/>
    </xf>
    <xf numFmtId="0" fontId="1" fillId="0" borderId="1" xfId="0" applyFont="1" applyFill="1" applyBorder="1" applyAlignment="1">
      <alignment horizontal="justify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justify" vertical="center" wrapText="1"/>
    </xf>
    <xf numFmtId="0" fontId="2" fillId="0" borderId="1" xfId="0" applyFont="1" applyFill="1" applyBorder="1" applyAlignment="1">
      <alignment horizontal="justify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justify" vertical="center"/>
    </xf>
    <xf numFmtId="0" fontId="8" fillId="0" borderId="1" xfId="0" applyFont="1" applyFill="1" applyBorder="1" applyAlignment="1">
      <alignment horizontal="justify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223">
    <dxf/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top/>
      </border>
    </dxf>
    <dxf>
      <border>
        <top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top/>
      </border>
    </dxf>
    <dxf>
      <border>
        <top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8" formatCode="0.00_ 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</dxf>
    <dxf>
      <numFmt numFmtId="178" formatCode="0.0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308610</xdr:colOff>
      <xdr:row>2</xdr:row>
      <xdr:rowOff>175260</xdr:rowOff>
    </xdr:from>
    <xdr:to>
      <xdr:col>13</xdr:col>
      <xdr:colOff>12700</xdr:colOff>
      <xdr:row>23</xdr:row>
      <xdr:rowOff>175260</xdr:rowOff>
    </xdr:to>
    <xdr:pic>
      <xdr:nvPicPr>
        <xdr:cNvPr id="2" name="图片 1" descr="Search Volume_cake topper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" y="530860"/>
          <a:ext cx="7628890" cy="3733800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23</xdr:row>
      <xdr:rowOff>8890</xdr:rowOff>
    </xdr:from>
    <xdr:to>
      <xdr:col>13</xdr:col>
      <xdr:colOff>441960</xdr:colOff>
      <xdr:row>70</xdr:row>
      <xdr:rowOff>139065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7160" y="4098290"/>
          <a:ext cx="8229600" cy="8486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119380</xdr:colOff>
      <xdr:row>71</xdr:row>
      <xdr:rowOff>68580</xdr:rowOff>
    </xdr:from>
    <xdr:to>
      <xdr:col>13</xdr:col>
      <xdr:colOff>424180</xdr:colOff>
      <xdr:row>90</xdr:row>
      <xdr:rowOff>78105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9380" y="12692380"/>
          <a:ext cx="8229600" cy="8486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389890</xdr:colOff>
      <xdr:row>77</xdr:row>
      <xdr:rowOff>86360</xdr:rowOff>
    </xdr:from>
    <xdr:to>
      <xdr:col>22</xdr:col>
      <xdr:colOff>316230</xdr:colOff>
      <xdr:row>137</xdr:row>
      <xdr:rowOff>153035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924290" y="18876010"/>
          <a:ext cx="9601200" cy="10734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416560</xdr:colOff>
      <xdr:row>77</xdr:row>
      <xdr:rowOff>22860</xdr:rowOff>
    </xdr:from>
    <xdr:to>
      <xdr:col>28</xdr:col>
      <xdr:colOff>381000</xdr:colOff>
      <xdr:row>124</xdr:row>
      <xdr:rowOff>153035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8625820" y="18812510"/>
          <a:ext cx="4743450" cy="8486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191770</xdr:colOff>
      <xdr:row>98</xdr:row>
      <xdr:rowOff>58420</xdr:rowOff>
    </xdr:from>
    <xdr:to>
      <xdr:col>13</xdr:col>
      <xdr:colOff>544195</xdr:colOff>
      <xdr:row>150</xdr:row>
      <xdr:rowOff>42545</xdr:rowOff>
    </xdr:to>
    <xdr:pic>
      <xdr:nvPicPr>
        <xdr:cNvPr id="4" name="图片 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91770" y="22581870"/>
          <a:ext cx="8277225" cy="9229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06.6274305556" refreshedBy="86139" recordCount="48">
  <cacheSource type="worksheet">
    <worksheetSource ref="C2:O50" sheet="数据源"/>
  </cacheSource>
  <cacheFields count="13">
    <cacheField name="ASIN" numFmtId="0">
      <sharedItems count="48">
        <s v="B0DSDLBRL1"/>
        <s v="B0BX7CN2H6"/>
        <s v="B0CC2BS6CL"/>
        <s v="B098QSSX8K"/>
        <s v="B07L69W246"/>
        <s v="B0GGHW8X47"/>
        <s v="B0CFG61KCY"/>
        <s v="B0B8YZQP2J"/>
        <s v="B09ZD6W95Y"/>
        <s v="B0FN7S2C4K"/>
        <s v="B0FXQMP58X"/>
        <s v="B085VX6GCG"/>
        <s v="B0B2449D7M"/>
        <s v="B0FY6J338N"/>
        <s v="B0CWRRQGH2"/>
        <s v="B093LQST7K"/>
        <s v="B0CQTYFD7K"/>
        <s v="B0BWR8ZDPZ"/>
        <s v="B0BXPYW7ZW"/>
        <s v="B0F6MLKV8D"/>
        <s v="B09TVLCZH2"/>
        <s v="B0F23PF5TL"/>
        <s v="B0F3788YWD"/>
        <s v="B0CN18NSSB"/>
        <s v="B098LTBZ8F"/>
        <s v="B0BXQ4WDH7"/>
        <s v="B0B4S175TY"/>
        <s v="B0D4PB81KL"/>
        <s v="B0G64JZBV5"/>
        <s v="B0G2RYC5DB"/>
        <s v="B0D91VYWXF"/>
        <s v="B0GR96L5CB"/>
        <s v="B0GWDQZT8M"/>
        <s v="B0B4K8CHD9"/>
        <s v="B0D3TBNFGB"/>
        <s v="B0DLH8BFJ8"/>
        <s v="B0CQN54FN9"/>
        <s v="B0FQ67BQK7"/>
        <s v="B0GSVLW65T"/>
        <s v="B09TFB7Y9L"/>
        <s v="B0FGJ6MS89"/>
        <s v="B0D1KDQH7W"/>
        <s v="B0D27G2XPD"/>
        <s v="B0FH4MDB29"/>
        <s v="B0C53T76PX"/>
        <s v="B0FQ67VXBL"/>
        <s v="B0F1G2Q8HB"/>
        <s v="B0CJB8QR67"/>
      </sharedItems>
    </cacheField>
    <cacheField name="商品" numFmtId="0">
      <sharedItems count="48">
        <s v="48 PCS Graduation Cupcake Toppers, 6 Styles Congrats Grad Cake Topper, Black and Gold Graduation Decorations 2026, Glittery Cap and Diploma Cake Picks for Grad Party Decor Supplies"/>
        <s v="Plastic Graduation Cap Cake Topper with Large Paper Diploma Cake Topper (Black)"/>
        <s v="DecoPac Bluey So Much Fun Rings, 24 Cupcake Decorations Featuring Bluey, Bingo, Bandit, and Chilli, 3D Food Safe Cake Toppers – 24 Pack"/>
        <s v="60Pcs Butterfly Cupcake Topper Pink Purple Gold, Lively 3D Butterflies for Cake Decor Birthday Anniversary Kids Wedding Girl Women Party Wall Food Decorations, Mixed Size"/>
        <s v="6-Pack Gold Cake Topper Set, Double-Sided Glitter, Acrylic Happy Birthday Cupcake Toppers, Birthday Decorations for Children or Adults."/>
        <s v="2026 Graduation Cupcake Toppers 48 Pack, Pre-Assembled Food &amp; Appetizer Picks, Black Gold Grad Cap &amp; Diploma Cupcake Decorations for Graduation Party"/>
        <s v="DecoPac Paw Patrol Reporting For Duty Rings, Cupcake Decorations Featuring Chase, Marshall, Skye, And Rubble - 24 Pack"/>
        <s v="26 PCS Dinosaur Cake Toppers With Dinosaur Eggs Leaves Trees Cake Decorations For Birthday Party, dinosaur Themed party, Wild Animals Party, Kids Party Cake Decorations"/>
        <s v="28 PCS Soccer Cake Topper Soccer Ball Player Cake Decorations for Soccer Birthday Party Sport Party Supplies"/>
        <s v="25pcs Demon Hunters Cake Decorations with 24pcs Cupcake Toppers, 1pcs Cake Topper for Demon Hunters Birthday Party Supplies Kids Birthday Decorations"/>
        <s v="16Pcs Cute Anime Cake Decorations with 15pcs Cupcake Toppers, 1pcs Happy Birthday Cake Topper, Cartoon Themed Party Supplies, Perfect for Birthday Party Decorations"/>
        <s v="DIY Happy birthday Cake Topper Black Acrylic"/>
        <s v="Pistha 18 Pieces Soccer Cake Topper Decorations Soccer Ball Cupcake Topper Soccer Player figure for Soccer Birthday Party Sport Party Football Theme Party Supplies for Men Boy"/>
        <s v="Cute Anime Cake Decorations, Cartoon Happy Birthday Cake Topper, Party Cake Decorations Supplies for Girls"/>
        <s v="DecoPac Sonic the Hedgehog Rings, Cupcake Decorations Featuring Sonic, Tails, and Shadow - 24 Pack"/>
        <s v="36 PCS 2026 Graduation Theme Cupcake Toppers Glitter Class of 2026 Grad Cap Diploma Cupcake Picks 2026 Graduation Theme Party Cake Decorations Supplies Red"/>
        <s v="Wedding Cake Toppers, Wedding Cake Toppers Bride and Groom, Custom Cake Topper, Customize Your Own Anniversary Mr and Mrs Cake Topper"/>
        <s v="Gold Birthday Cake Topper, 6pcs Acrylic Birthday Cake Toppers Happy Birth Cake Toppers for Decorations Gold Topper for Girls Women's Party Decorations"/>
        <s v="DecoSet® Bluey Dance Mode Cake Toppers, 3 Piece Cake Decoration With Bluey And Bingo Figurines and Muffin &amp; Socks Poly Pic, For Birthday, Parties, Celebration"/>
        <s v="21pcs Mermaid Cake Topper - Mermaid Tail Cake Decorations with Seaweed Shells Starfish Coralal Under the Sea Cake Decorations for Birthday Party Decorations (Pink Purple)"/>
        <s v="JOGILBOY 10 Pcs Happy Birthday Cake Toppers Foil Firework Cupcake Toppers Sparkle Tinsel Drink Stirrers Flowers Cake Decoration Cocktail Food Fruit Toothpick for Cake Decoration Party Supplies"/>
        <s v="24Pcs Christmas Cupcake Toppers, Merry Christmas Foil Firework Cupcake Toppers Tinsel Drink Picks Winter Supplies Favor"/>
        <s v="Beach Seashells Cake Decorations Under the Sea Cake Topper Under the Sea Birthday Party Decorations Starfish Shells Ocean Cake Topper Summer Beach Party Supplies"/>
        <s v="Yerliker 34 Pcs Happy Birthday Cake Toppers Decorations Birthday Candles DIY Cake Decor for Men Women Wedding Anniversary(Gold)"/>
        <s v="Gyufise He Asked She Said Yes Cupcake Toppers Gold Glitter Diamond Ring Heart Love Cake Picks for Wedding Engagement Party Cake Decorations 24 Pack"/>
        <s v="DecoSet® Mobs Beware Minecraft Cake Topper, 6-Piece Stackable Cake Decoration, Interlocking 3D Blocks With Characters, Food Safe Birthday Cake Decoration"/>
        <s v="Sleyberoy golden Glitter Happy 50th Anniversary Cake Toppers -Wedding Anniversary Party Decorations, 50th Wedding Anniversary, Company Anniversary Party, Birthday Party Decorations"/>
        <s v="19pcs Safari Animal Cake Topper - Jungle Wild Cake Toppers with Leaves Balls Cake Decorations for Safari Animals Themed Birthday Party Decorations (Safari Animal Style)"/>
        <s v="24Pcs Graduation Cupcake Toppers, Black and Blue Graduation Decorations Class of 2026 Cupcake Toppers (Black Blue)"/>
        <s v="Ercadio 30pcs Glitter Black Jazz Dance Cupcake Topper Jazz Music Cupcake Picks Dancer Silhouette Cake Picks for Jazzist Birthday Cupcake Decorations Pop Music Dancing Anniversary Party Supplies"/>
        <s v="66 PCS Ball Cake Picks Gold 4 Sizes for DIY Baking Decoration Cupcake Toppers and Wedding Anniversary Birthday"/>
        <s v="NatNarr 30PCS Black Bows for Cake Bow Cake Topper Pretied Ribbon Bow Cupcake Toppers - Ready to Use for Birthday Wedding Baby Shower Graduation Dessert Display Decorations Simple Elegant Style"/>
        <s v="Demon Movie Hunters Birthday Cake Topper, Cute Cake Decorations Include 1Pcs Happy Birthday Cake Topper and 24Pcs Cupcake Topper for Cartoon Party Decorations"/>
        <s v="&quot;Bby Shrk Cupcake Toppers – Cute Party Decorations for Bby Shrk-Themed Birthdays – Fun &amp; Colorful Cake Toppers for Birthday Parties – Multicolor Set of 24&quot;"/>
        <s v="BEISHIDA 40 Pcs Mini Balls Cake Toppers - Foam Balls DIY Cake Topper Inserts for Birthday Wedding Baby Shower Anniversary Cake Decorations (Red Blue Yellow Green)"/>
        <s v="Easy Adjusting Gamer Cake Topper with Eye-Catching Design - 5.1&quot;x5.9&quot; Video Game Cake Topper Happy Birthday, Made from Cardboard with Sturdy Plastic Stick - Boy &amp; Girl Gamer Birthday Party Decorations"/>
        <s v="Gold Glitter Happy 70th Birthday Cake Topper - Cheers to 70 Years Cake Topper, 70 &amp; Fabulous Cake Decoration for Hello 70th Birthday Anniversary Party Cake Decorations Supplies"/>
        <s v="24PCS Cartoon Cake Toppers Cupcake Toppers Cake Decorations Birthday Party Supplies Decorations (Style 3)"/>
        <s v="Cartoon cake topper Figures Set 6Pcs Cartoon cake decorations for party supplier birthday"/>
        <s v="Chinco 100 Pcs 4th of July Foil Firework Cupcake Toppers Sparkle Tinsel Cake Toppers Cake Decoration Cocktail Fruit Toothpick for Birthday Wedding Graduation Party, Silver, Red, Blue"/>
        <s v="Birthday Cake Toppers, Cute Mouse Cake Decorations, Cartoon Themed Cupcake Topper, Birthday Party Supplies (Pink)"/>
        <s v="One Cake Topper Red &amp; White &amp; Blue Glitter- 4th of July 1st Birthday Decorations, 4th of July Baby Shower Decor/American National Independence Day Theme 1st Birthday Party Cake Decorations Supplies"/>
        <s v="1 PCS Happy Birthday Cake Topper Glitter Cake Pick for Celebrating Anniversary Theme Party Cake Decorations Supplies Light Pink"/>
        <s v="10PCS Artificial Hibiscus Flower Cake Toppers Hawaii Pink Hibiscus Cake Decors for Hawaii Theme Birthday Bridal Engagement Wedding Floral Cake Picks Summer Holiday Party Decoration"/>
        <s v="ASTARON 32 Pcs Ball Cake Topper Decorations Mini Balloons Cake Topper Sticks Foam Balls Cake Picks Cake Topper Balls Cake Decorations for Wedding Party Birthday Cake Decorating (Pink Gold)"/>
        <s v="25PCS Cake Toppers Cupcake Toppers Cake Decorations Birthday Party Supplies Decorations (Style 9)"/>
        <s v="Colingmill 18 Pcs Cat Cake Toppers Figurine Hat Birthday Party Decorations"/>
        <s v="1Pc Happy 80th Birthday Cake Topper Black Gold Glitter Cheers to 80 Years Cake Pick 80th Birthday Cake Decoration for Happy 80th Birthday Anniversary Party Supplies"/>
      </sharedItems>
    </cacheField>
    <cacheField name="品牌" numFmtId="0">
      <sharedItems count="39">
        <s v="QZYL"/>
        <s v="DecoPac"/>
        <s v="Bluey"/>
        <s v="WOW DING"/>
        <s v="LetsCake"/>
        <s v="VINCREY"/>
        <s v="glahorse"/>
        <s v="BANBALLON"/>
        <s v="YEEFIGRO"/>
        <s v="Genasce"/>
        <s v="ZHENGYE"/>
        <s v="Pistha"/>
        <s v="ZHUOWEISM"/>
        <s v="Handmade"/>
        <s v="Hazyore"/>
        <s v="Zafena"/>
        <s v="JOGILBOY"/>
        <s v="KIGEAPUEL"/>
        <s v="BACH AND BOUJEE"/>
        <s v="Yerliker"/>
        <s v="Gyufise"/>
        <s v="Sleyberoy"/>
        <s v="Moitkptt"/>
        <s v="Ercadio"/>
        <s v="SPFYunion"/>
        <s v="NatNarr"/>
        <s v="LMHRZH"/>
        <s v="Seyal"/>
        <s v="BEISHIDA"/>
        <s v="V TOWER"/>
        <s v="Florcmet"/>
        <s v="Losede"/>
        <s v="LEQDO"/>
        <s v="Chinco"/>
        <s v="EBWHOLE"/>
        <s v="Keaziu"/>
        <s v="ASTARON"/>
        <s v="Colingmill"/>
        <s v="Ephlyn"/>
      </sharedItems>
    </cacheField>
    <cacheField name="分类" numFmtId="0">
      <sharedItems count="1">
        <s v="Toys &amp; Games"/>
      </sharedItems>
    </cacheField>
    <cacheField name="月销量" numFmtId="0">
      <sharedItems containsSemiMixedTypes="0" containsString="0" containsNumber="1" containsInteger="1" minValue="574" maxValue="11373" count="47">
        <n v="11373"/>
        <n v="2589"/>
        <n v="2507"/>
        <n v="2436"/>
        <n v="2366"/>
        <n v="2361"/>
        <n v="2268"/>
        <n v="2184"/>
        <n v="2148"/>
        <n v="2085"/>
        <n v="1855"/>
        <n v="1689"/>
        <n v="1614"/>
        <n v="1567"/>
        <n v="1518"/>
        <n v="1504"/>
        <n v="1493"/>
        <n v="1458"/>
        <n v="1394"/>
        <n v="1383"/>
        <n v="1378"/>
        <n v="1045"/>
        <n v="1044"/>
        <n v="949"/>
        <n v="941"/>
        <n v="938"/>
        <n v="929"/>
        <n v="924"/>
        <n v="900"/>
        <n v="884"/>
        <n v="849"/>
        <n v="844"/>
        <n v="834"/>
        <n v="808"/>
        <n v="783"/>
        <n v="730"/>
        <n v="725"/>
        <n v="692"/>
        <n v="691"/>
        <n v="690"/>
        <n v="669"/>
        <n v="666"/>
        <n v="658"/>
        <n v="656"/>
        <n v="644"/>
        <n v="625"/>
        <n v="574"/>
      </sharedItems>
    </cacheField>
    <cacheField name="日销量" numFmtId="178">
      <sharedItems containsSemiMixedTypes="0" containsString="0" containsNumber="1" minValue="19.1333333333333" maxValue="379.1" count="47">
        <n v="379.1"/>
        <n v="86.3"/>
        <n v="83.5666666666667"/>
        <n v="81.2"/>
        <n v="78.8666666666667"/>
        <n v="78.7"/>
        <n v="75.6"/>
        <n v="72.8"/>
        <n v="71.6"/>
        <n v="69.5"/>
        <n v="61.8333333333333"/>
        <n v="56.3"/>
        <n v="53.8"/>
        <n v="52.2333333333333"/>
        <n v="50.6"/>
        <n v="50.1333333333333"/>
        <n v="49.7666666666667"/>
        <n v="48.6"/>
        <n v="46.4666666666667"/>
        <n v="46.1"/>
        <n v="45.9333333333333"/>
        <n v="34.8333333333333"/>
        <n v="34.8"/>
        <n v="31.6333333333333"/>
        <n v="31.3666666666667"/>
        <n v="31.2666666666667"/>
        <n v="30.9666666666667"/>
        <n v="30.8"/>
        <n v="30"/>
        <n v="29.4666666666667"/>
        <n v="28.3"/>
        <n v="28.1333333333333"/>
        <n v="27.8"/>
        <n v="26.9333333333333"/>
        <n v="26.1"/>
        <n v="24.3333333333333"/>
        <n v="24.1666666666667"/>
        <n v="23.0666666666667"/>
        <n v="23.0333333333333"/>
        <n v="23"/>
        <n v="22.3"/>
        <n v="22.2"/>
        <n v="21.9333333333333"/>
        <n v="21.8666666666667"/>
        <n v="21.4666666666667"/>
        <n v="20.8333333333333"/>
        <n v="19.1333333333333"/>
      </sharedItems>
    </cacheField>
    <cacheField name="价格" numFmtId="0">
      <sharedItems containsSemiMixedTypes="0" containsString="0" containsNumber="1" minValue="4.02" maxValue="21.82" count="25">
        <n v="5.99"/>
        <n v="8.11"/>
        <n v="11.32"/>
        <n v="4.99"/>
        <n v="16.99"/>
        <n v="9.99"/>
        <n v="8.87"/>
        <n v="12.99"/>
        <n v="8.99"/>
        <n v="8.72"/>
        <n v="12.67"/>
        <n v="17.99"/>
        <n v="4.36"/>
        <n v="9.19"/>
        <n v="13.99"/>
        <n v="6.1"/>
        <n v="6.99"/>
        <n v="11.88"/>
        <n v="10.47"/>
        <n v="15.99"/>
        <n v="7.99"/>
        <n v="11.34"/>
        <n v="4.02"/>
        <n v="5.23"/>
        <n v="21.82"/>
      </sharedItems>
      <fieldGroup base="6">
        <rangePr autoStart="0" autoEnd="0" startNum="4" endNum="21" groupInterval="3"/>
        <groupItems count="8">
          <s v="&lt;4"/>
          <s v="4-7"/>
          <s v="7-10"/>
          <s v="10-13"/>
          <s v="13-16"/>
          <s v="16-19"/>
          <s v="19-22"/>
          <s v="&gt;22"/>
        </groupItems>
      </fieldGroup>
    </cacheField>
    <cacheField name="月销售额" numFmtId="181">
      <sharedItems containsSemiMixedTypes="0" containsString="0" containsNumber="1" minValue="2914.5" maxValue="68124.27" count="48">
        <n v="68124.27"/>
        <n v="20996.79"/>
        <n v="28379.24"/>
        <n v="12155.64"/>
        <n v="11806.34"/>
        <n v="11781.39"/>
        <n v="38533.32"/>
        <n v="21818.16"/>
        <n v="19052.76"/>
        <n v="20829.15"/>
        <n v="24096.45"/>
        <n v="10117.11"/>
        <n v="14509.86"/>
        <n v="13664.24"/>
        <n v="19233.06"/>
        <n v="7504.96"/>
        <n v="26859.07"/>
        <n v="6356.88"/>
        <n v="12810.86"/>
        <n v="19348.17"/>
        <n v="8405.8"/>
        <n v="7304.55"/>
        <n v="12402.72"/>
        <n v="9936.03"/>
        <n v="6577.59"/>
        <n v="13122.62"/>
        <n v="5564.71"/>
        <n v="14774.76"/>
        <n v="7191"/>
        <n v="7947.16"/>
        <n v="6783.51"/>
        <n v="5055.56"/>
        <n v="9457.56"/>
        <n v="7263.92"/>
        <n v="7822.17"/>
        <n v="7292.7"/>
        <n v="2914.5"/>
        <n v="4837.08"/>
        <n v="11049.09"/>
        <n v="6893.1"/>
        <n v="8690.31"/>
        <n v="4655.34"/>
        <n v="3441.34"/>
        <n v="5897.44"/>
        <n v="6433.56"/>
        <n v="5618.75"/>
        <n v="13637.5"/>
        <n v="3438.26"/>
      </sharedItems>
    </cacheField>
    <cacheField name="评论数" numFmtId="177">
      <sharedItems containsSemiMixedTypes="0" containsString="0" containsNumber="1" containsInteger="1" minValue="6" maxValue="7958" count="48">
        <n v="489"/>
        <n v="402"/>
        <n v="2049"/>
        <n v="1980"/>
        <n v="7958"/>
        <n v="97"/>
        <n v="1268"/>
        <n v="1103"/>
        <n v="854"/>
        <n v="210"/>
        <n v="171"/>
        <n v="2102"/>
        <n v="668"/>
        <n v="150"/>
        <n v="955"/>
        <n v="2830"/>
        <n v="588"/>
        <n v="1096"/>
        <n v="918"/>
        <n v="323"/>
        <n v="451"/>
        <n v="32"/>
        <n v="119"/>
        <n v="1228"/>
        <n v="1137"/>
        <n v="549"/>
        <n v="977"/>
        <n v="794"/>
        <n v="618"/>
        <n v="155"/>
        <n v="499"/>
        <n v="38"/>
        <n v="6"/>
        <n v="470"/>
        <n v="475"/>
        <n v="612"/>
        <n v="638"/>
        <n v="190"/>
        <n v="22"/>
        <n v="836"/>
        <n v="349"/>
        <n v="36"/>
        <n v="888"/>
        <n v="35"/>
        <n v="3680"/>
        <n v="239"/>
        <n v="244"/>
        <n v="1003"/>
      </sharedItems>
    </cacheField>
    <cacheField name="评分" numFmtId="0">
      <sharedItems containsSemiMixedTypes="0" containsString="0" containsNumber="1" minValue="3.5" maxValue="4.9" count="10">
        <n v="4.3"/>
        <n v="4.6"/>
        <n v="4.8"/>
        <n v="4.7"/>
        <n v="4.4"/>
        <n v="4.5"/>
        <n v="3.5"/>
        <n v="4.9"/>
        <n v="4"/>
        <n v="4.2"/>
      </sharedItems>
      <fieldGroup base="9">
        <rangePr startNum="0" endNum="4.9" groupInterval="0.5"/>
        <groupItems count="5">
          <s v="&lt;3.5"/>
          <s v="3.5-4"/>
          <s v="4-4.5"/>
          <s v="4.5-5"/>
          <s v="&gt;5"/>
        </groupItems>
      </fieldGroup>
    </cacheField>
    <cacheField name="上架日期" numFmtId="0">
      <sharedItems count="47">
        <s v="Jan 7, 2025"/>
        <s v="Mar 2, 2023"/>
        <s v="Jun 30, 2023"/>
        <s v="Jul 6, 2021"/>
        <s v="Dec 6, 2018"/>
        <s v="Jan 13, 2026"/>
        <s v="Jun 5, 2023"/>
        <s v="Aug 8, 2022"/>
        <s v="May 3, 2022"/>
        <s v="Aug 21, 2025"/>
        <s v="Oct 25, 2025"/>
        <s v="Mar 13, 2020"/>
        <s v="May 24, 2022"/>
        <s v="Oct 29, 2025"/>
        <s v="Feb 10, 2024"/>
        <s v="Apr 1, 2021"/>
        <s v="Dec 23, 2023"/>
        <s v="Feb 24, 2023"/>
        <s v="Feb 11, 2023"/>
        <s v="Jun 23, 2025"/>
        <s v="Mar 4, 2022"/>
        <s v="Mar 21, 2025"/>
        <s v="Apr 1, 2025"/>
        <s v="Nov 9, 2023"/>
        <s v="Jul 1, 2021"/>
        <s v="Feb 4, 2023"/>
        <s v="Mar 7, 2022"/>
        <s v="Jul 26, 2024"/>
        <s v="Dec 10, 2025"/>
        <s v="Nov 18, 2025"/>
        <s v="Jul 8, 2024"/>
        <s v="Mar 5, 2026"/>
        <s v="Apr 7, 2026"/>
        <s v="Jun 20, 2022"/>
        <s v="May 10, 2024"/>
        <s v="Nov 30, 2024"/>
        <s v="Dec 19, 2023"/>
        <s v="Sep 8, 2025"/>
        <s v="Sep 6, 2025"/>
        <s v="Feb 25, 2022"/>
        <s v="Jul 3, 2025"/>
        <s v="Apr 12, 2024"/>
        <s v="Apr 20, 2024"/>
        <s v="Jul 9, 2025"/>
        <s v="May 13, 2023"/>
        <s v="Mar 14, 2025"/>
        <s v="Sep 19, 2023"/>
      </sharedItems>
    </cacheField>
    <cacheField name="上架天数" numFmtId="177">
      <sharedItems containsSemiMixedTypes="0" containsString="0" containsNumber="1" containsInteger="1" minValue="87" maxValue="2766" count="47">
        <n v="542"/>
        <n v="1219"/>
        <n v="1099"/>
        <n v="1823"/>
        <n v="2766"/>
        <n v="171"/>
        <n v="1124"/>
        <n v="1425"/>
        <n v="1522"/>
        <n v="316"/>
        <n v="251"/>
        <n v="2303"/>
        <n v="1501"/>
        <n v="247"/>
        <n v="874"/>
        <n v="1919"/>
        <n v="923"/>
        <n v="1225"/>
        <n v="1238"/>
        <n v="375"/>
        <n v="1582"/>
        <n v="469"/>
        <n v="458"/>
        <n v="967"/>
        <n v="1828"/>
        <n v="1245"/>
        <n v="1579"/>
        <n v="707"/>
        <n v="205"/>
        <n v="227"/>
        <n v="725"/>
        <n v="120"/>
        <n v="87"/>
        <n v="1474"/>
        <n v="784"/>
        <n v="580"/>
        <n v="927"/>
        <n v="298"/>
        <n v="300"/>
        <n v="1589"/>
        <n v="365"/>
        <n v="812"/>
        <n v="804"/>
        <n v="359"/>
        <n v="1147"/>
        <n v="476"/>
        <n v="1018"/>
      </sharedItems>
    </cacheField>
    <cacheField name="发货方式" numFmtId="0">
      <sharedItems count="3">
        <s v="FBA"/>
        <s v="AMZ"/>
        <s v="MFN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06.6350231481" refreshedBy="86139" recordCount="48">
  <cacheSource type="worksheet">
    <worksheetSource ref="O63:T111" sheet="市场分析"/>
  </cacheSource>
  <cacheFields count="7">
    <cacheField name="评论数" numFmtId="177">
      <sharedItems containsSemiMixedTypes="0" containsString="0" containsNumber="1" containsInteger="1" minValue="0" maxValue="7958" count="48">
        <n v="6"/>
        <n v="22"/>
        <n v="32"/>
        <n v="35"/>
        <n v="36"/>
        <n v="38"/>
        <n v="97"/>
        <n v="119"/>
        <n v="150"/>
        <n v="155"/>
        <n v="171"/>
        <n v="190"/>
        <n v="210"/>
        <n v="239"/>
        <n v="244"/>
        <n v="323"/>
        <n v="349"/>
        <n v="402"/>
        <n v="451"/>
        <n v="470"/>
        <n v="475"/>
        <n v="489"/>
        <n v="499"/>
        <n v="549"/>
        <n v="588"/>
        <n v="612"/>
        <n v="618"/>
        <n v="638"/>
        <n v="668"/>
        <n v="794"/>
        <n v="836"/>
        <n v="854"/>
        <n v="888"/>
        <n v="918"/>
        <n v="955"/>
        <n v="977"/>
        <n v="1003"/>
        <n v="1096"/>
        <n v="1103"/>
        <n v="1137"/>
        <n v="1228"/>
        <n v="1268"/>
        <n v="1980"/>
        <n v="2049"/>
        <n v="2102"/>
        <n v="2830"/>
        <n v="3680"/>
        <n v="7958"/>
      </sharedItems>
    </cacheField>
    <cacheField name="求和项:日销量" numFmtId="178">
      <sharedItems containsSemiMixedTypes="0" containsString="0" containsNumber="1" minValue="0" maxValue="379.1" count="47">
        <n v="27.8"/>
        <n v="23.0333333333333"/>
        <n v="34.8333333333333"/>
        <n v="21.8666666666667"/>
        <n v="22.2"/>
        <n v="28.1333333333333"/>
        <n v="78.7"/>
        <n v="34.8"/>
        <n v="52.2333333333333"/>
        <n v="29.4666666666667"/>
        <n v="61.8333333333333"/>
        <n v="23.0666666666667"/>
        <n v="69.5"/>
        <n v="20.8333333333333"/>
        <n v="46.1"/>
        <n v="22.3"/>
        <n v="86.3"/>
        <n v="45.9333333333333"/>
        <n v="26.9333333333333"/>
        <n v="26.1"/>
        <n v="379.1"/>
        <n v="28.3"/>
        <n v="31.2666666666667"/>
        <n v="49.7666666666667"/>
        <n v="24.3333333333333"/>
        <n v="30"/>
        <n v="24.1666666666667"/>
        <n v="53.8"/>
        <n v="30.8"/>
        <n v="23"/>
        <n v="71.6"/>
        <n v="21.9333333333333"/>
        <n v="46.4666666666667"/>
        <n v="50.6"/>
        <n v="30.9666666666667"/>
        <n v="19.1333333333333"/>
        <n v="48.6"/>
        <n v="72.8"/>
        <n v="31.3666666666667"/>
        <n v="31.6333333333333"/>
        <n v="75.6"/>
        <n v="81.2"/>
        <n v="83.5666666666667"/>
        <n v="56.3"/>
        <n v="50.1333333333333"/>
        <n v="21.4666666666667"/>
        <n v="78.8666666666667"/>
      </sharedItems>
    </cacheField>
    <cacheField name="求和项:月销量" numFmtId="0">
      <sharedItems containsSemiMixedTypes="0" containsString="0" containsNumber="1" containsInteger="1" minValue="0" maxValue="11373" count="47">
        <n v="834"/>
        <n v="691"/>
        <n v="1045"/>
        <n v="656"/>
        <n v="666"/>
        <n v="844"/>
        <n v="2361"/>
        <n v="1044"/>
        <n v="1567"/>
        <n v="884"/>
        <n v="1855"/>
        <n v="692"/>
        <n v="2085"/>
        <n v="625"/>
        <n v="1383"/>
        <n v="669"/>
        <n v="2589"/>
        <n v="1378"/>
        <n v="808"/>
        <n v="783"/>
        <n v="11373"/>
        <n v="849"/>
        <n v="938"/>
        <n v="1493"/>
        <n v="730"/>
        <n v="900"/>
        <n v="725"/>
        <n v="1614"/>
        <n v="924"/>
        <n v="690"/>
        <n v="2148"/>
        <n v="658"/>
        <n v="1394"/>
        <n v="1518"/>
        <n v="929"/>
        <n v="574"/>
        <n v="1458"/>
        <n v="2184"/>
        <n v="941"/>
        <n v="949"/>
        <n v="2268"/>
        <n v="2436"/>
        <n v="2507"/>
        <n v="1689"/>
        <n v="1504"/>
        <n v="644"/>
        <n v="2366"/>
      </sharedItems>
    </cacheField>
    <cacheField name="求和项:月销售额" numFmtId="178">
      <sharedItems containsSemiMixedTypes="0" containsString="0" containsNumber="1" minValue="0" maxValue="68124.27" count="48">
        <n v="9457.56"/>
        <n v="11049.09"/>
        <n v="7304.55"/>
        <n v="5897.44"/>
        <n v="4655.34"/>
        <n v="5055.56"/>
        <n v="11781.39"/>
        <n v="12402.72"/>
        <n v="13664.24"/>
        <n v="7947.16"/>
        <n v="24096.45"/>
        <n v="4837.08"/>
        <n v="20829.15"/>
        <n v="5618.75"/>
        <n v="13637.5"/>
        <n v="19348.17"/>
        <n v="8690.31"/>
        <n v="20996.79"/>
        <n v="8405.8"/>
        <n v="7263.92"/>
        <n v="7822.17"/>
        <n v="68124.27"/>
        <n v="6783.51"/>
        <n v="13122.62"/>
        <n v="26859.07"/>
        <n v="7292.7"/>
        <n v="7191"/>
        <n v="2914.5"/>
        <n v="14509.86"/>
        <n v="14774.76"/>
        <n v="6893.1"/>
        <n v="19052.76"/>
        <n v="3441.34"/>
        <n v="12810.86"/>
        <n v="19233.06"/>
        <n v="5564.71"/>
        <n v="3438.26"/>
        <n v="6356.88"/>
        <n v="21818.16"/>
        <n v="6577.59"/>
        <n v="9936.03"/>
        <n v="38533.32"/>
        <n v="12155.64"/>
        <n v="28379.24"/>
        <n v="10117.11"/>
        <n v="7504.96"/>
        <n v="6433.56"/>
        <n v="11806.34"/>
      </sharedItems>
    </cacheField>
    <cacheField name="计数项:ASIN" numFmtId="0">
      <sharedItems containsSemiMixedTypes="0" containsString="0" containsNumber="1" containsInteger="1" minValue="0" maxValue="1" count="1">
        <n v="1"/>
      </sharedItems>
    </cacheField>
    <cacheField name="市场份额" numFmtId="10">
      <sharedItems containsSemiMixedTypes="0" containsString="0" containsNumber="1" minValue="0" maxValue="0.109456561828517" count="48">
        <n v="0.0151956417424643"/>
        <n v="0.0177527832993124"/>
        <n v="0.0117363595779374"/>
        <n v="0.00947552914680729"/>
        <n v="0.00747982342479073"/>
        <n v="0.00812286451976333"/>
        <n v="0.0189293836537386"/>
        <n v="0.0199276863960786"/>
        <n v="0.02195459460189"/>
        <n v="0.0127688533014903"/>
        <n v="0.0387162250585991"/>
        <n v="0.00777182854347625"/>
        <n v="0.0334665919328083"/>
        <n v="0.00902775261700389"/>
        <n v="0.021911630934708"/>
        <n v="0.0310870731660487"/>
        <n v="0.0139628865575217"/>
        <n v="0.0337359423130022"/>
        <n v="0.0135057589228941"/>
        <n v="0.0116710785832626"/>
        <n v="0.0125680294884359"/>
        <n v="0.109456561828517"/>
        <n v="0.0108991946883154"/>
        <n v="0.0210843634343844"/>
        <n v="0.0431549792182942"/>
        <n v="0.0117173199572902"/>
        <n v="0.011553916630723"/>
        <n v="0.00468278264778783"/>
        <n v="0.0233132683581509"/>
        <n v="0.0237388882323656"/>
        <n v="0.0110752750281236"/>
        <n v="0.0306124322938638"/>
        <n v="0.0055292665078532"/>
        <n v="0.0205834527058635"/>
        <n v="0.0309021237371289"/>
        <n v="0.00894092551997646"/>
        <n v="0.00552431781320397"/>
        <n v="0.0102137201434447"/>
        <n v="0.0350556531324956"/>
        <n v="0.0105683391031953"/>
        <n v="0.0159644086024702"/>
        <n v="0.0619122189938774"/>
        <n v="0.0195306982551915"/>
        <n v="0.0455974653043082"/>
        <n v="0.016255353286588"/>
        <n v="0.0120583621411363"/>
        <n v="0.010336923359582"/>
        <n v="0.0189694712938354"/>
      </sharedItems>
    </cacheField>
    <cacheField name="区间" numFmtId="0">
      <sharedItems count="5">
        <s v="&lt;100"/>
        <s v="100-499"/>
        <s v="500-999"/>
        <s v="1000-1999"/>
        <s v="&gt;20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8">
  <r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1"/>
    <x v="1"/>
    <x v="1"/>
    <x v="1"/>
    <x v="1"/>
    <x v="0"/>
  </r>
  <r>
    <x v="2"/>
    <x v="2"/>
    <x v="2"/>
    <x v="0"/>
    <x v="2"/>
    <x v="2"/>
    <x v="2"/>
    <x v="2"/>
    <x v="2"/>
    <x v="2"/>
    <x v="2"/>
    <x v="2"/>
    <x v="1"/>
  </r>
  <r>
    <x v="3"/>
    <x v="3"/>
    <x v="3"/>
    <x v="0"/>
    <x v="3"/>
    <x v="3"/>
    <x v="3"/>
    <x v="3"/>
    <x v="3"/>
    <x v="1"/>
    <x v="3"/>
    <x v="3"/>
    <x v="0"/>
  </r>
  <r>
    <x v="4"/>
    <x v="4"/>
    <x v="4"/>
    <x v="0"/>
    <x v="4"/>
    <x v="4"/>
    <x v="3"/>
    <x v="4"/>
    <x v="4"/>
    <x v="1"/>
    <x v="4"/>
    <x v="4"/>
    <x v="0"/>
  </r>
  <r>
    <x v="5"/>
    <x v="5"/>
    <x v="5"/>
    <x v="0"/>
    <x v="5"/>
    <x v="5"/>
    <x v="3"/>
    <x v="5"/>
    <x v="5"/>
    <x v="2"/>
    <x v="5"/>
    <x v="5"/>
    <x v="0"/>
  </r>
  <r>
    <x v="6"/>
    <x v="6"/>
    <x v="1"/>
    <x v="0"/>
    <x v="6"/>
    <x v="6"/>
    <x v="4"/>
    <x v="6"/>
    <x v="6"/>
    <x v="2"/>
    <x v="6"/>
    <x v="6"/>
    <x v="1"/>
  </r>
  <r>
    <x v="7"/>
    <x v="7"/>
    <x v="6"/>
    <x v="0"/>
    <x v="7"/>
    <x v="7"/>
    <x v="5"/>
    <x v="7"/>
    <x v="7"/>
    <x v="2"/>
    <x v="7"/>
    <x v="7"/>
    <x v="0"/>
  </r>
  <r>
    <x v="8"/>
    <x v="8"/>
    <x v="7"/>
    <x v="0"/>
    <x v="8"/>
    <x v="8"/>
    <x v="6"/>
    <x v="8"/>
    <x v="8"/>
    <x v="3"/>
    <x v="8"/>
    <x v="8"/>
    <x v="0"/>
  </r>
  <r>
    <x v="9"/>
    <x v="9"/>
    <x v="8"/>
    <x v="0"/>
    <x v="9"/>
    <x v="9"/>
    <x v="5"/>
    <x v="9"/>
    <x v="9"/>
    <x v="4"/>
    <x v="9"/>
    <x v="9"/>
    <x v="0"/>
  </r>
  <r>
    <x v="10"/>
    <x v="10"/>
    <x v="9"/>
    <x v="0"/>
    <x v="10"/>
    <x v="10"/>
    <x v="7"/>
    <x v="10"/>
    <x v="10"/>
    <x v="4"/>
    <x v="10"/>
    <x v="10"/>
    <x v="0"/>
  </r>
  <r>
    <x v="11"/>
    <x v="11"/>
    <x v="10"/>
    <x v="0"/>
    <x v="11"/>
    <x v="11"/>
    <x v="0"/>
    <x v="11"/>
    <x v="11"/>
    <x v="5"/>
    <x v="11"/>
    <x v="11"/>
    <x v="0"/>
  </r>
  <r>
    <x v="12"/>
    <x v="12"/>
    <x v="11"/>
    <x v="0"/>
    <x v="12"/>
    <x v="12"/>
    <x v="8"/>
    <x v="12"/>
    <x v="12"/>
    <x v="1"/>
    <x v="12"/>
    <x v="12"/>
    <x v="0"/>
  </r>
  <r>
    <x v="13"/>
    <x v="13"/>
    <x v="9"/>
    <x v="0"/>
    <x v="13"/>
    <x v="13"/>
    <x v="9"/>
    <x v="13"/>
    <x v="13"/>
    <x v="6"/>
    <x v="13"/>
    <x v="13"/>
    <x v="0"/>
  </r>
  <r>
    <x v="14"/>
    <x v="14"/>
    <x v="1"/>
    <x v="0"/>
    <x v="14"/>
    <x v="14"/>
    <x v="10"/>
    <x v="14"/>
    <x v="14"/>
    <x v="2"/>
    <x v="14"/>
    <x v="14"/>
    <x v="1"/>
  </r>
  <r>
    <x v="15"/>
    <x v="15"/>
    <x v="12"/>
    <x v="0"/>
    <x v="15"/>
    <x v="15"/>
    <x v="3"/>
    <x v="15"/>
    <x v="15"/>
    <x v="2"/>
    <x v="15"/>
    <x v="15"/>
    <x v="0"/>
  </r>
  <r>
    <x v="16"/>
    <x v="16"/>
    <x v="13"/>
    <x v="0"/>
    <x v="16"/>
    <x v="16"/>
    <x v="11"/>
    <x v="16"/>
    <x v="16"/>
    <x v="1"/>
    <x v="16"/>
    <x v="16"/>
    <x v="2"/>
  </r>
  <r>
    <x v="17"/>
    <x v="17"/>
    <x v="14"/>
    <x v="0"/>
    <x v="17"/>
    <x v="17"/>
    <x v="12"/>
    <x v="17"/>
    <x v="17"/>
    <x v="3"/>
    <x v="17"/>
    <x v="17"/>
    <x v="0"/>
  </r>
  <r>
    <x v="18"/>
    <x v="18"/>
    <x v="2"/>
    <x v="0"/>
    <x v="18"/>
    <x v="18"/>
    <x v="13"/>
    <x v="18"/>
    <x v="18"/>
    <x v="2"/>
    <x v="18"/>
    <x v="18"/>
    <x v="1"/>
  </r>
  <r>
    <x v="19"/>
    <x v="19"/>
    <x v="15"/>
    <x v="0"/>
    <x v="19"/>
    <x v="19"/>
    <x v="14"/>
    <x v="19"/>
    <x v="19"/>
    <x v="2"/>
    <x v="19"/>
    <x v="19"/>
    <x v="0"/>
  </r>
  <r>
    <x v="20"/>
    <x v="20"/>
    <x v="16"/>
    <x v="0"/>
    <x v="20"/>
    <x v="20"/>
    <x v="15"/>
    <x v="20"/>
    <x v="20"/>
    <x v="5"/>
    <x v="20"/>
    <x v="20"/>
    <x v="0"/>
  </r>
  <r>
    <x v="21"/>
    <x v="21"/>
    <x v="17"/>
    <x v="0"/>
    <x v="21"/>
    <x v="21"/>
    <x v="16"/>
    <x v="21"/>
    <x v="21"/>
    <x v="0"/>
    <x v="21"/>
    <x v="21"/>
    <x v="0"/>
  </r>
  <r>
    <x v="22"/>
    <x v="22"/>
    <x v="18"/>
    <x v="0"/>
    <x v="22"/>
    <x v="22"/>
    <x v="17"/>
    <x v="22"/>
    <x v="22"/>
    <x v="4"/>
    <x v="22"/>
    <x v="22"/>
    <x v="0"/>
  </r>
  <r>
    <x v="23"/>
    <x v="23"/>
    <x v="19"/>
    <x v="0"/>
    <x v="23"/>
    <x v="23"/>
    <x v="18"/>
    <x v="23"/>
    <x v="23"/>
    <x v="1"/>
    <x v="23"/>
    <x v="23"/>
    <x v="0"/>
  </r>
  <r>
    <x v="24"/>
    <x v="24"/>
    <x v="20"/>
    <x v="0"/>
    <x v="24"/>
    <x v="24"/>
    <x v="16"/>
    <x v="24"/>
    <x v="24"/>
    <x v="2"/>
    <x v="24"/>
    <x v="24"/>
    <x v="0"/>
  </r>
  <r>
    <x v="25"/>
    <x v="25"/>
    <x v="1"/>
    <x v="0"/>
    <x v="25"/>
    <x v="25"/>
    <x v="14"/>
    <x v="25"/>
    <x v="25"/>
    <x v="3"/>
    <x v="25"/>
    <x v="25"/>
    <x v="1"/>
  </r>
  <r>
    <x v="26"/>
    <x v="26"/>
    <x v="21"/>
    <x v="0"/>
    <x v="26"/>
    <x v="26"/>
    <x v="0"/>
    <x v="26"/>
    <x v="26"/>
    <x v="3"/>
    <x v="26"/>
    <x v="26"/>
    <x v="0"/>
  </r>
  <r>
    <x v="27"/>
    <x v="27"/>
    <x v="15"/>
    <x v="0"/>
    <x v="27"/>
    <x v="27"/>
    <x v="19"/>
    <x v="27"/>
    <x v="27"/>
    <x v="2"/>
    <x v="27"/>
    <x v="27"/>
    <x v="0"/>
  </r>
  <r>
    <x v="28"/>
    <x v="28"/>
    <x v="22"/>
    <x v="0"/>
    <x v="28"/>
    <x v="28"/>
    <x v="20"/>
    <x v="28"/>
    <x v="28"/>
    <x v="2"/>
    <x v="28"/>
    <x v="28"/>
    <x v="0"/>
  </r>
  <r>
    <x v="29"/>
    <x v="29"/>
    <x v="23"/>
    <x v="0"/>
    <x v="29"/>
    <x v="29"/>
    <x v="8"/>
    <x v="29"/>
    <x v="29"/>
    <x v="3"/>
    <x v="29"/>
    <x v="29"/>
    <x v="0"/>
  </r>
  <r>
    <x v="30"/>
    <x v="30"/>
    <x v="24"/>
    <x v="0"/>
    <x v="30"/>
    <x v="30"/>
    <x v="20"/>
    <x v="30"/>
    <x v="30"/>
    <x v="2"/>
    <x v="30"/>
    <x v="30"/>
    <x v="0"/>
  </r>
  <r>
    <x v="31"/>
    <x v="31"/>
    <x v="25"/>
    <x v="0"/>
    <x v="31"/>
    <x v="31"/>
    <x v="0"/>
    <x v="31"/>
    <x v="31"/>
    <x v="7"/>
    <x v="31"/>
    <x v="31"/>
    <x v="0"/>
  </r>
  <r>
    <x v="32"/>
    <x v="32"/>
    <x v="26"/>
    <x v="0"/>
    <x v="32"/>
    <x v="32"/>
    <x v="21"/>
    <x v="32"/>
    <x v="32"/>
    <x v="8"/>
    <x v="32"/>
    <x v="32"/>
    <x v="0"/>
  </r>
  <r>
    <x v="33"/>
    <x v="33"/>
    <x v="27"/>
    <x v="0"/>
    <x v="33"/>
    <x v="33"/>
    <x v="8"/>
    <x v="33"/>
    <x v="33"/>
    <x v="1"/>
    <x v="33"/>
    <x v="33"/>
    <x v="0"/>
  </r>
  <r>
    <x v="34"/>
    <x v="34"/>
    <x v="28"/>
    <x v="0"/>
    <x v="34"/>
    <x v="34"/>
    <x v="5"/>
    <x v="34"/>
    <x v="34"/>
    <x v="3"/>
    <x v="34"/>
    <x v="34"/>
    <x v="0"/>
  </r>
  <r>
    <x v="35"/>
    <x v="35"/>
    <x v="29"/>
    <x v="0"/>
    <x v="35"/>
    <x v="35"/>
    <x v="5"/>
    <x v="35"/>
    <x v="35"/>
    <x v="3"/>
    <x v="35"/>
    <x v="35"/>
    <x v="0"/>
  </r>
  <r>
    <x v="36"/>
    <x v="36"/>
    <x v="30"/>
    <x v="0"/>
    <x v="36"/>
    <x v="36"/>
    <x v="22"/>
    <x v="36"/>
    <x v="36"/>
    <x v="3"/>
    <x v="36"/>
    <x v="36"/>
    <x v="0"/>
  </r>
  <r>
    <x v="37"/>
    <x v="37"/>
    <x v="31"/>
    <x v="0"/>
    <x v="37"/>
    <x v="37"/>
    <x v="16"/>
    <x v="37"/>
    <x v="37"/>
    <x v="3"/>
    <x v="37"/>
    <x v="37"/>
    <x v="0"/>
  </r>
  <r>
    <x v="38"/>
    <x v="38"/>
    <x v="32"/>
    <x v="0"/>
    <x v="38"/>
    <x v="38"/>
    <x v="19"/>
    <x v="38"/>
    <x v="38"/>
    <x v="8"/>
    <x v="38"/>
    <x v="38"/>
    <x v="0"/>
  </r>
  <r>
    <x v="39"/>
    <x v="39"/>
    <x v="33"/>
    <x v="0"/>
    <x v="39"/>
    <x v="39"/>
    <x v="5"/>
    <x v="39"/>
    <x v="39"/>
    <x v="9"/>
    <x v="39"/>
    <x v="39"/>
    <x v="0"/>
  </r>
  <r>
    <x v="40"/>
    <x v="40"/>
    <x v="34"/>
    <x v="0"/>
    <x v="40"/>
    <x v="40"/>
    <x v="7"/>
    <x v="40"/>
    <x v="40"/>
    <x v="1"/>
    <x v="40"/>
    <x v="40"/>
    <x v="0"/>
  </r>
  <r>
    <x v="41"/>
    <x v="41"/>
    <x v="30"/>
    <x v="0"/>
    <x v="41"/>
    <x v="41"/>
    <x v="16"/>
    <x v="41"/>
    <x v="41"/>
    <x v="2"/>
    <x v="41"/>
    <x v="41"/>
    <x v="0"/>
  </r>
  <r>
    <x v="42"/>
    <x v="42"/>
    <x v="12"/>
    <x v="0"/>
    <x v="42"/>
    <x v="42"/>
    <x v="23"/>
    <x v="42"/>
    <x v="42"/>
    <x v="3"/>
    <x v="42"/>
    <x v="42"/>
    <x v="0"/>
  </r>
  <r>
    <x v="43"/>
    <x v="43"/>
    <x v="35"/>
    <x v="0"/>
    <x v="43"/>
    <x v="43"/>
    <x v="8"/>
    <x v="43"/>
    <x v="43"/>
    <x v="1"/>
    <x v="43"/>
    <x v="43"/>
    <x v="0"/>
  </r>
  <r>
    <x v="44"/>
    <x v="44"/>
    <x v="36"/>
    <x v="0"/>
    <x v="44"/>
    <x v="44"/>
    <x v="5"/>
    <x v="44"/>
    <x v="44"/>
    <x v="3"/>
    <x v="44"/>
    <x v="44"/>
    <x v="0"/>
  </r>
  <r>
    <x v="45"/>
    <x v="45"/>
    <x v="31"/>
    <x v="0"/>
    <x v="45"/>
    <x v="45"/>
    <x v="8"/>
    <x v="45"/>
    <x v="45"/>
    <x v="3"/>
    <x v="37"/>
    <x v="37"/>
    <x v="0"/>
  </r>
  <r>
    <x v="46"/>
    <x v="46"/>
    <x v="37"/>
    <x v="0"/>
    <x v="45"/>
    <x v="45"/>
    <x v="24"/>
    <x v="46"/>
    <x v="46"/>
    <x v="4"/>
    <x v="45"/>
    <x v="45"/>
    <x v="0"/>
  </r>
  <r>
    <x v="47"/>
    <x v="47"/>
    <x v="38"/>
    <x v="0"/>
    <x v="46"/>
    <x v="46"/>
    <x v="0"/>
    <x v="47"/>
    <x v="47"/>
    <x v="3"/>
    <x v="46"/>
    <x v="46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8">
  <r>
    <x v="0"/>
    <x v="0"/>
    <x v="0"/>
    <x v="0"/>
    <x v="0"/>
    <x v="0"/>
    <x v="0"/>
  </r>
  <r>
    <x v="1"/>
    <x v="1"/>
    <x v="1"/>
    <x v="1"/>
    <x v="0"/>
    <x v="1"/>
    <x v="0"/>
  </r>
  <r>
    <x v="2"/>
    <x v="2"/>
    <x v="2"/>
    <x v="2"/>
    <x v="0"/>
    <x v="2"/>
    <x v="0"/>
  </r>
  <r>
    <x v="3"/>
    <x v="3"/>
    <x v="3"/>
    <x v="3"/>
    <x v="0"/>
    <x v="3"/>
    <x v="0"/>
  </r>
  <r>
    <x v="4"/>
    <x v="4"/>
    <x v="4"/>
    <x v="4"/>
    <x v="0"/>
    <x v="4"/>
    <x v="0"/>
  </r>
  <r>
    <x v="5"/>
    <x v="5"/>
    <x v="5"/>
    <x v="5"/>
    <x v="0"/>
    <x v="5"/>
    <x v="0"/>
  </r>
  <r>
    <x v="6"/>
    <x v="6"/>
    <x v="6"/>
    <x v="6"/>
    <x v="0"/>
    <x v="6"/>
    <x v="0"/>
  </r>
  <r>
    <x v="7"/>
    <x v="7"/>
    <x v="7"/>
    <x v="7"/>
    <x v="0"/>
    <x v="7"/>
    <x v="1"/>
  </r>
  <r>
    <x v="8"/>
    <x v="8"/>
    <x v="8"/>
    <x v="8"/>
    <x v="0"/>
    <x v="8"/>
    <x v="1"/>
  </r>
  <r>
    <x v="9"/>
    <x v="9"/>
    <x v="9"/>
    <x v="9"/>
    <x v="0"/>
    <x v="9"/>
    <x v="1"/>
  </r>
  <r>
    <x v="10"/>
    <x v="10"/>
    <x v="10"/>
    <x v="10"/>
    <x v="0"/>
    <x v="10"/>
    <x v="1"/>
  </r>
  <r>
    <x v="11"/>
    <x v="11"/>
    <x v="11"/>
    <x v="11"/>
    <x v="0"/>
    <x v="11"/>
    <x v="1"/>
  </r>
  <r>
    <x v="12"/>
    <x v="12"/>
    <x v="12"/>
    <x v="12"/>
    <x v="0"/>
    <x v="12"/>
    <x v="1"/>
  </r>
  <r>
    <x v="13"/>
    <x v="13"/>
    <x v="13"/>
    <x v="13"/>
    <x v="0"/>
    <x v="13"/>
    <x v="1"/>
  </r>
  <r>
    <x v="14"/>
    <x v="13"/>
    <x v="13"/>
    <x v="14"/>
    <x v="0"/>
    <x v="14"/>
    <x v="1"/>
  </r>
  <r>
    <x v="15"/>
    <x v="14"/>
    <x v="14"/>
    <x v="15"/>
    <x v="0"/>
    <x v="15"/>
    <x v="1"/>
  </r>
  <r>
    <x v="16"/>
    <x v="15"/>
    <x v="15"/>
    <x v="16"/>
    <x v="0"/>
    <x v="16"/>
    <x v="1"/>
  </r>
  <r>
    <x v="17"/>
    <x v="16"/>
    <x v="16"/>
    <x v="17"/>
    <x v="0"/>
    <x v="17"/>
    <x v="1"/>
  </r>
  <r>
    <x v="18"/>
    <x v="17"/>
    <x v="17"/>
    <x v="18"/>
    <x v="0"/>
    <x v="18"/>
    <x v="1"/>
  </r>
  <r>
    <x v="19"/>
    <x v="18"/>
    <x v="18"/>
    <x v="19"/>
    <x v="0"/>
    <x v="19"/>
    <x v="1"/>
  </r>
  <r>
    <x v="20"/>
    <x v="19"/>
    <x v="19"/>
    <x v="20"/>
    <x v="0"/>
    <x v="20"/>
    <x v="1"/>
  </r>
  <r>
    <x v="21"/>
    <x v="20"/>
    <x v="20"/>
    <x v="21"/>
    <x v="0"/>
    <x v="21"/>
    <x v="1"/>
  </r>
  <r>
    <x v="22"/>
    <x v="21"/>
    <x v="21"/>
    <x v="22"/>
    <x v="0"/>
    <x v="22"/>
    <x v="1"/>
  </r>
  <r>
    <x v="23"/>
    <x v="22"/>
    <x v="22"/>
    <x v="23"/>
    <x v="0"/>
    <x v="23"/>
    <x v="2"/>
  </r>
  <r>
    <x v="24"/>
    <x v="23"/>
    <x v="23"/>
    <x v="24"/>
    <x v="0"/>
    <x v="24"/>
    <x v="2"/>
  </r>
  <r>
    <x v="25"/>
    <x v="24"/>
    <x v="24"/>
    <x v="25"/>
    <x v="0"/>
    <x v="25"/>
    <x v="2"/>
  </r>
  <r>
    <x v="26"/>
    <x v="25"/>
    <x v="25"/>
    <x v="26"/>
    <x v="0"/>
    <x v="26"/>
    <x v="2"/>
  </r>
  <r>
    <x v="27"/>
    <x v="26"/>
    <x v="26"/>
    <x v="27"/>
    <x v="0"/>
    <x v="27"/>
    <x v="2"/>
  </r>
  <r>
    <x v="28"/>
    <x v="27"/>
    <x v="27"/>
    <x v="28"/>
    <x v="0"/>
    <x v="28"/>
    <x v="2"/>
  </r>
  <r>
    <x v="29"/>
    <x v="28"/>
    <x v="28"/>
    <x v="29"/>
    <x v="0"/>
    <x v="29"/>
    <x v="2"/>
  </r>
  <r>
    <x v="30"/>
    <x v="29"/>
    <x v="29"/>
    <x v="30"/>
    <x v="0"/>
    <x v="30"/>
    <x v="2"/>
  </r>
  <r>
    <x v="31"/>
    <x v="30"/>
    <x v="30"/>
    <x v="31"/>
    <x v="0"/>
    <x v="31"/>
    <x v="2"/>
  </r>
  <r>
    <x v="32"/>
    <x v="31"/>
    <x v="31"/>
    <x v="32"/>
    <x v="0"/>
    <x v="32"/>
    <x v="2"/>
  </r>
  <r>
    <x v="33"/>
    <x v="32"/>
    <x v="32"/>
    <x v="33"/>
    <x v="0"/>
    <x v="33"/>
    <x v="2"/>
  </r>
  <r>
    <x v="34"/>
    <x v="33"/>
    <x v="33"/>
    <x v="34"/>
    <x v="0"/>
    <x v="34"/>
    <x v="2"/>
  </r>
  <r>
    <x v="35"/>
    <x v="34"/>
    <x v="34"/>
    <x v="35"/>
    <x v="0"/>
    <x v="35"/>
    <x v="2"/>
  </r>
  <r>
    <x v="36"/>
    <x v="35"/>
    <x v="35"/>
    <x v="36"/>
    <x v="0"/>
    <x v="36"/>
    <x v="3"/>
  </r>
  <r>
    <x v="37"/>
    <x v="36"/>
    <x v="36"/>
    <x v="37"/>
    <x v="0"/>
    <x v="37"/>
    <x v="3"/>
  </r>
  <r>
    <x v="38"/>
    <x v="37"/>
    <x v="37"/>
    <x v="38"/>
    <x v="0"/>
    <x v="38"/>
    <x v="3"/>
  </r>
  <r>
    <x v="39"/>
    <x v="38"/>
    <x v="38"/>
    <x v="39"/>
    <x v="0"/>
    <x v="39"/>
    <x v="3"/>
  </r>
  <r>
    <x v="40"/>
    <x v="39"/>
    <x v="39"/>
    <x v="40"/>
    <x v="0"/>
    <x v="40"/>
    <x v="3"/>
  </r>
  <r>
    <x v="41"/>
    <x v="40"/>
    <x v="40"/>
    <x v="41"/>
    <x v="0"/>
    <x v="41"/>
    <x v="3"/>
  </r>
  <r>
    <x v="42"/>
    <x v="41"/>
    <x v="41"/>
    <x v="42"/>
    <x v="0"/>
    <x v="42"/>
    <x v="3"/>
  </r>
  <r>
    <x v="43"/>
    <x v="42"/>
    <x v="42"/>
    <x v="43"/>
    <x v="0"/>
    <x v="43"/>
    <x v="4"/>
  </r>
  <r>
    <x v="44"/>
    <x v="43"/>
    <x v="43"/>
    <x v="44"/>
    <x v="0"/>
    <x v="44"/>
    <x v="4"/>
  </r>
  <r>
    <x v="45"/>
    <x v="44"/>
    <x v="44"/>
    <x v="45"/>
    <x v="0"/>
    <x v="45"/>
    <x v="4"/>
  </r>
  <r>
    <x v="46"/>
    <x v="45"/>
    <x v="45"/>
    <x v="46"/>
    <x v="0"/>
    <x v="46"/>
    <x v="4"/>
  </r>
  <r>
    <x v="47"/>
    <x v="46"/>
    <x v="46"/>
    <x v="47"/>
    <x v="0"/>
    <x v="47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4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O3:S43" firstHeaderRow="0" firstDataRow="1" firstDataCol="1"/>
  <pivotFields count="13">
    <pivotField dataField="1" compact="0" showAll="0">
      <items count="49">
        <item x="4"/>
        <item x="11"/>
        <item x="15"/>
        <item x="24"/>
        <item x="3"/>
        <item x="39"/>
        <item x="20"/>
        <item x="8"/>
        <item x="12"/>
        <item x="33"/>
        <item x="26"/>
        <item x="7"/>
        <item x="17"/>
        <item x="1"/>
        <item x="18"/>
        <item x="25"/>
        <item x="44"/>
        <item x="2"/>
        <item x="6"/>
        <item x="47"/>
        <item x="23"/>
        <item x="36"/>
        <item x="16"/>
        <item x="14"/>
        <item x="41"/>
        <item x="42"/>
        <item x="34"/>
        <item x="27"/>
        <item x="30"/>
        <item x="35"/>
        <item x="0"/>
        <item x="46"/>
        <item x="21"/>
        <item x="22"/>
        <item x="19"/>
        <item x="40"/>
        <item x="43"/>
        <item x="9"/>
        <item x="37"/>
        <item x="45"/>
        <item x="10"/>
        <item x="13"/>
        <item x="29"/>
        <item x="28"/>
        <item x="5"/>
        <item x="31"/>
        <item x="38"/>
        <item x="32"/>
        <item t="default"/>
      </items>
    </pivotField>
    <pivotField compact="0" showAll="0">
      <items count="49">
        <item x="33"/>
        <item x="42"/>
        <item x="43"/>
        <item x="10"/>
        <item x="27"/>
        <item x="47"/>
        <item x="5"/>
        <item x="19"/>
        <item x="37"/>
        <item x="21"/>
        <item x="28"/>
        <item x="45"/>
        <item x="9"/>
        <item x="7"/>
        <item x="8"/>
        <item x="15"/>
        <item x="0"/>
        <item x="3"/>
        <item x="30"/>
        <item x="4"/>
        <item x="44"/>
        <item x="22"/>
        <item x="34"/>
        <item x="40"/>
        <item x="38"/>
        <item x="39"/>
        <item x="46"/>
        <item x="13"/>
        <item x="2"/>
        <item x="6"/>
        <item x="14"/>
        <item x="18"/>
        <item x="25"/>
        <item x="32"/>
        <item x="11"/>
        <item x="35"/>
        <item x="29"/>
        <item x="17"/>
        <item x="36"/>
        <item x="24"/>
        <item x="20"/>
        <item x="31"/>
        <item x="41"/>
        <item x="12"/>
        <item x="1"/>
        <item x="26"/>
        <item x="16"/>
        <item x="23"/>
        <item t="default"/>
      </items>
    </pivotField>
    <pivotField axis="axisRow" compact="0" showAll="0">
      <items count="40">
        <item x="36"/>
        <item x="18"/>
        <item x="7"/>
        <item x="28"/>
        <item x="2"/>
        <item x="33"/>
        <item x="37"/>
        <item x="1"/>
        <item x="34"/>
        <item x="38"/>
        <item x="23"/>
        <item x="30"/>
        <item x="9"/>
        <item x="6"/>
        <item x="20"/>
        <item x="13"/>
        <item x="14"/>
        <item x="16"/>
        <item x="35"/>
        <item x="17"/>
        <item x="32"/>
        <item x="4"/>
        <item x="26"/>
        <item x="31"/>
        <item x="22"/>
        <item x="25"/>
        <item x="11"/>
        <item x="0"/>
        <item x="27"/>
        <item x="21"/>
        <item x="24"/>
        <item x="29"/>
        <item x="5"/>
        <item x="3"/>
        <item x="8"/>
        <item x="19"/>
        <item x="15"/>
        <item x="10"/>
        <item x="12"/>
        <item t="default"/>
      </items>
    </pivotField>
    <pivotField compact="0" showAll="0">
      <items count="2">
        <item x="0"/>
        <item t="default"/>
      </items>
    </pivotField>
    <pivotField dataField="1" compact="0" showAll="0">
      <items count="48"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compact="0" numFmtId="178" showAll="0">
      <items count="48"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numFmtId="176" showAll="0">
      <items count="49">
        <item x="36"/>
        <item x="47"/>
        <item x="42"/>
        <item x="41"/>
        <item x="37"/>
        <item x="31"/>
        <item x="26"/>
        <item x="45"/>
        <item x="43"/>
        <item x="17"/>
        <item x="44"/>
        <item x="24"/>
        <item x="30"/>
        <item x="39"/>
        <item x="28"/>
        <item x="33"/>
        <item x="35"/>
        <item x="21"/>
        <item x="15"/>
        <item x="34"/>
        <item x="29"/>
        <item x="20"/>
        <item x="40"/>
        <item x="32"/>
        <item x="23"/>
        <item x="11"/>
        <item x="38"/>
        <item x="5"/>
        <item x="4"/>
        <item x="3"/>
        <item x="22"/>
        <item x="18"/>
        <item x="25"/>
        <item x="46"/>
        <item x="13"/>
        <item x="12"/>
        <item x="27"/>
        <item x="8"/>
        <item x="14"/>
        <item x="19"/>
        <item x="9"/>
        <item x="1"/>
        <item x="7"/>
        <item x="10"/>
        <item x="16"/>
        <item x="2"/>
        <item x="6"/>
        <item x="0"/>
        <item t="default"/>
      </items>
    </pivotField>
    <pivotField compact="0" numFmtId="177" showAll="0">
      <items count="49">
        <item x="32"/>
        <item x="38"/>
        <item x="21"/>
        <item x="43"/>
        <item x="41"/>
        <item x="31"/>
        <item x="5"/>
        <item x="22"/>
        <item x="13"/>
        <item x="29"/>
        <item x="10"/>
        <item x="37"/>
        <item x="9"/>
        <item x="45"/>
        <item x="46"/>
        <item x="19"/>
        <item x="40"/>
        <item x="1"/>
        <item x="20"/>
        <item x="33"/>
        <item x="34"/>
        <item x="0"/>
        <item x="30"/>
        <item x="25"/>
        <item x="16"/>
        <item x="35"/>
        <item x="28"/>
        <item x="36"/>
        <item x="12"/>
        <item x="27"/>
        <item x="39"/>
        <item x="8"/>
        <item x="42"/>
        <item x="18"/>
        <item x="14"/>
        <item x="26"/>
        <item x="47"/>
        <item x="17"/>
        <item x="7"/>
        <item x="24"/>
        <item x="23"/>
        <item x="6"/>
        <item x="3"/>
        <item x="2"/>
        <item x="11"/>
        <item x="15"/>
        <item x="44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8">
        <item x="15"/>
        <item x="22"/>
        <item x="41"/>
        <item x="42"/>
        <item x="32"/>
        <item x="9"/>
        <item x="7"/>
        <item x="28"/>
        <item x="36"/>
        <item x="16"/>
        <item x="4"/>
        <item x="14"/>
        <item x="18"/>
        <item x="17"/>
        <item x="39"/>
        <item x="25"/>
        <item x="5"/>
        <item x="0"/>
        <item x="24"/>
        <item x="27"/>
        <item x="40"/>
        <item x="3"/>
        <item x="30"/>
        <item x="43"/>
        <item x="33"/>
        <item x="19"/>
        <item x="2"/>
        <item x="6"/>
        <item x="11"/>
        <item x="45"/>
        <item x="1"/>
        <item x="21"/>
        <item x="20"/>
        <item x="31"/>
        <item x="26"/>
        <item x="34"/>
        <item x="44"/>
        <item x="12"/>
        <item x="8"/>
        <item x="29"/>
        <item x="35"/>
        <item x="23"/>
        <item x="10"/>
        <item x="13"/>
        <item x="46"/>
        <item x="38"/>
        <item x="37"/>
        <item t="default"/>
      </items>
    </pivotField>
    <pivotField compact="0" numFmtId="177" showAll="0">
      <items count="48">
        <item x="32"/>
        <item x="31"/>
        <item x="5"/>
        <item x="28"/>
        <item x="29"/>
        <item x="13"/>
        <item x="10"/>
        <item x="37"/>
        <item x="38"/>
        <item x="9"/>
        <item x="43"/>
        <item x="40"/>
        <item x="19"/>
        <item x="22"/>
        <item x="21"/>
        <item x="45"/>
        <item x="0"/>
        <item x="35"/>
        <item x="27"/>
        <item x="30"/>
        <item x="34"/>
        <item x="42"/>
        <item x="41"/>
        <item x="14"/>
        <item x="16"/>
        <item x="36"/>
        <item x="23"/>
        <item x="46"/>
        <item x="2"/>
        <item x="6"/>
        <item x="44"/>
        <item x="1"/>
        <item x="17"/>
        <item x="18"/>
        <item x="25"/>
        <item x="7"/>
        <item x="33"/>
        <item x="12"/>
        <item x="8"/>
        <item x="26"/>
        <item x="20"/>
        <item x="39"/>
        <item x="3"/>
        <item x="24"/>
        <item x="15"/>
        <item x="11"/>
        <item x="4"/>
        <item t="default"/>
      </items>
    </pivotField>
    <pivotField compact="0" showAll="0">
      <items count="4">
        <item x="1"/>
        <item x="0"/>
        <item x="2"/>
        <item t="default"/>
      </items>
    </pivotField>
  </pivotFields>
  <rowFields count="1">
    <field x="2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求和项:日销量" fld="5" baseField="0" baseItem="0" numFmtId="178"/>
    <dataField name="求和项:月销量" fld="4" baseField="0" baseItem="0"/>
    <dataField name="求和项:月销售额" fld="7" baseField="0" baseItem="0" numFmtId="178"/>
    <dataField name="计数项:ASIN" fld="0" subtotal="count" baseField="0" baseItem="0"/>
  </dataFields>
  <formats count="173">
    <format dxfId="0">
      <pivotArea dataOnly="0" labelOnly="1" fieldPosition="0">
        <references count="1">
          <reference field="4294967294" count="1">
            <x v="0"/>
          </reference>
        </references>
      </pivotArea>
    </format>
    <format dxfId="1">
      <pivotArea field="2" type="button" dataOnly="0" labelOnly="1" outline="0" fieldPosition="0"/>
    </format>
    <format dxfId="2">
      <pivotArea dataOnly="0" labelOnly="1" fieldPosition="0">
        <references count="1">
          <reference field="2" count="1">
            <x v="0"/>
          </reference>
        </references>
      </pivotArea>
    </format>
    <format dxfId="3">
      <pivotArea dataOnly="0" labelOnly="1" fieldPosition="0">
        <references count="1">
          <reference field="2" count="1">
            <x v="1"/>
          </reference>
        </references>
      </pivotArea>
    </format>
    <format dxfId="4">
      <pivotArea dataOnly="0" labelOnly="1" fieldPosition="0">
        <references count="1">
          <reference field="2" count="1">
            <x v="2"/>
          </reference>
        </references>
      </pivotArea>
    </format>
    <format dxfId="5">
      <pivotArea dataOnly="0" labelOnly="1" fieldPosition="0">
        <references count="1">
          <reference field="2" count="1">
            <x v="3"/>
          </reference>
        </references>
      </pivotArea>
    </format>
    <format dxfId="6">
      <pivotArea dataOnly="0" labelOnly="1" fieldPosition="0">
        <references count="1">
          <reference field="2" count="1">
            <x v="4"/>
          </reference>
        </references>
      </pivotArea>
    </format>
    <format dxfId="7">
      <pivotArea dataOnly="0" labelOnly="1" fieldPosition="0">
        <references count="1">
          <reference field="2" count="1">
            <x v="5"/>
          </reference>
        </references>
      </pivotArea>
    </format>
    <format dxfId="8">
      <pivotArea dataOnly="0" labelOnly="1" fieldPosition="0">
        <references count="1">
          <reference field="2" count="1">
            <x v="6"/>
          </reference>
        </references>
      </pivotArea>
    </format>
    <format dxfId="9">
      <pivotArea dataOnly="0" labelOnly="1" fieldPosition="0">
        <references count="1">
          <reference field="2" count="1">
            <x v="7"/>
          </reference>
        </references>
      </pivotArea>
    </format>
    <format dxfId="10">
      <pivotArea dataOnly="0" labelOnly="1" fieldPosition="0">
        <references count="1">
          <reference field="2" count="1">
            <x v="8"/>
          </reference>
        </references>
      </pivotArea>
    </format>
    <format dxfId="11">
      <pivotArea dataOnly="0" labelOnly="1" fieldPosition="0">
        <references count="1">
          <reference field="2" count="1">
            <x v="9"/>
          </reference>
        </references>
      </pivotArea>
    </format>
    <format dxfId="12">
      <pivotArea dataOnly="0" labelOnly="1" fieldPosition="0">
        <references count="1">
          <reference field="2" count="1">
            <x v="10"/>
          </reference>
        </references>
      </pivotArea>
    </format>
    <format dxfId="13">
      <pivotArea dataOnly="0" labelOnly="1" fieldPosition="0">
        <references count="1">
          <reference field="2" count="1">
            <x v="11"/>
          </reference>
        </references>
      </pivotArea>
    </format>
    <format dxfId="14">
      <pivotArea dataOnly="0" labelOnly="1" fieldPosition="0">
        <references count="1">
          <reference field="2" count="1">
            <x v="12"/>
          </reference>
        </references>
      </pivotArea>
    </format>
    <format dxfId="15">
      <pivotArea dataOnly="0" labelOnly="1" fieldPosition="0">
        <references count="1">
          <reference field="2" count="1">
            <x v="13"/>
          </reference>
        </references>
      </pivotArea>
    </format>
    <format dxfId="16">
      <pivotArea dataOnly="0" labelOnly="1" fieldPosition="0">
        <references count="1">
          <reference field="2" count="1">
            <x v="14"/>
          </reference>
        </references>
      </pivotArea>
    </format>
    <format dxfId="17">
      <pivotArea dataOnly="0" labelOnly="1" fieldPosition="0">
        <references count="1">
          <reference field="2" count="1">
            <x v="15"/>
          </reference>
        </references>
      </pivotArea>
    </format>
    <format dxfId="18">
      <pivotArea dataOnly="0" labelOnly="1" fieldPosition="0">
        <references count="1">
          <reference field="2" count="1">
            <x v="16"/>
          </reference>
        </references>
      </pivotArea>
    </format>
    <format dxfId="19">
      <pivotArea dataOnly="0" labelOnly="1" fieldPosition="0">
        <references count="1">
          <reference field="2" count="1">
            <x v="17"/>
          </reference>
        </references>
      </pivotArea>
    </format>
    <format dxfId="20">
      <pivotArea dataOnly="0" labelOnly="1" fieldPosition="0">
        <references count="1">
          <reference field="2" count="1">
            <x v="18"/>
          </reference>
        </references>
      </pivotArea>
    </format>
    <format dxfId="21">
      <pivotArea dataOnly="0" labelOnly="1" fieldPosition="0">
        <references count="1">
          <reference field="2" count="1">
            <x v="19"/>
          </reference>
        </references>
      </pivotArea>
    </format>
    <format dxfId="22">
      <pivotArea dataOnly="0" labelOnly="1" fieldPosition="0">
        <references count="1">
          <reference field="2" count="1">
            <x v="20"/>
          </reference>
        </references>
      </pivotArea>
    </format>
    <format dxfId="23">
      <pivotArea dataOnly="0" labelOnly="1" fieldPosition="0">
        <references count="1">
          <reference field="2" count="1">
            <x v="21"/>
          </reference>
        </references>
      </pivotArea>
    </format>
    <format dxfId="24">
      <pivotArea dataOnly="0" labelOnly="1" fieldPosition="0">
        <references count="1">
          <reference field="2" count="1">
            <x v="22"/>
          </reference>
        </references>
      </pivotArea>
    </format>
    <format dxfId="25">
      <pivotArea dataOnly="0" labelOnly="1" fieldPosition="0">
        <references count="1">
          <reference field="2" count="1">
            <x v="23"/>
          </reference>
        </references>
      </pivotArea>
    </format>
    <format dxfId="26">
      <pivotArea dataOnly="0" labelOnly="1" fieldPosition="0">
        <references count="1">
          <reference field="2" count="1">
            <x v="24"/>
          </reference>
        </references>
      </pivotArea>
    </format>
    <format dxfId="27">
      <pivotArea dataOnly="0" labelOnly="1" fieldPosition="0">
        <references count="1">
          <reference field="2" count="1">
            <x v="25"/>
          </reference>
        </references>
      </pivotArea>
    </format>
    <format dxfId="28">
      <pivotArea dataOnly="0" labelOnly="1" fieldPosition="0">
        <references count="1">
          <reference field="2" count="1">
            <x v="26"/>
          </reference>
        </references>
      </pivotArea>
    </format>
    <format dxfId="29">
      <pivotArea dataOnly="0" labelOnly="1" fieldPosition="0">
        <references count="1">
          <reference field="2" count="1">
            <x v="27"/>
          </reference>
        </references>
      </pivotArea>
    </format>
    <format dxfId="30">
      <pivotArea dataOnly="0" labelOnly="1" fieldPosition="0">
        <references count="1">
          <reference field="2" count="1">
            <x v="28"/>
          </reference>
        </references>
      </pivotArea>
    </format>
    <format dxfId="31">
      <pivotArea dataOnly="0" labelOnly="1" fieldPosition="0">
        <references count="1">
          <reference field="2" count="1">
            <x v="29"/>
          </reference>
        </references>
      </pivotArea>
    </format>
    <format dxfId="32">
      <pivotArea dataOnly="0" labelOnly="1" fieldPosition="0">
        <references count="1">
          <reference field="2" count="1">
            <x v="30"/>
          </reference>
        </references>
      </pivotArea>
    </format>
    <format dxfId="33">
      <pivotArea dataOnly="0" labelOnly="1" fieldPosition="0">
        <references count="1">
          <reference field="2" count="1">
            <x v="31"/>
          </reference>
        </references>
      </pivotArea>
    </format>
    <format dxfId="34">
      <pivotArea dataOnly="0" labelOnly="1" fieldPosition="0">
        <references count="1">
          <reference field="2" count="1">
            <x v="32"/>
          </reference>
        </references>
      </pivotArea>
    </format>
    <format dxfId="35">
      <pivotArea dataOnly="0" labelOnly="1" fieldPosition="0">
        <references count="1">
          <reference field="2" count="1">
            <x v="33"/>
          </reference>
        </references>
      </pivotArea>
    </format>
    <format dxfId="36">
      <pivotArea dataOnly="0" labelOnly="1" fieldPosition="0">
        <references count="1">
          <reference field="2" count="1">
            <x v="34"/>
          </reference>
        </references>
      </pivotArea>
    </format>
    <format dxfId="37">
      <pivotArea dataOnly="0" labelOnly="1" fieldPosition="0">
        <references count="1">
          <reference field="2" count="1">
            <x v="35"/>
          </reference>
        </references>
      </pivotArea>
    </format>
    <format dxfId="38">
      <pivotArea dataOnly="0" labelOnly="1" fieldPosition="0">
        <references count="1">
          <reference field="2" count="1">
            <x v="36"/>
          </reference>
        </references>
      </pivotArea>
    </format>
    <format dxfId="39">
      <pivotArea dataOnly="0" labelOnly="1" fieldPosition="0">
        <references count="1">
          <reference field="2" count="1">
            <x v="37"/>
          </reference>
        </references>
      </pivotArea>
    </format>
    <format dxfId="40">
      <pivotArea dataOnly="0" labelOnly="1" fieldPosition="0">
        <references count="1">
          <reference field="2" count="1">
            <x v="38"/>
          </reference>
        </references>
      </pivotArea>
    </format>
    <format dxfId="41">
      <pivotArea dataOnly="0" labelOnly="1" fieldPosition="0">
        <references count="1">
          <reference field="4294967294" count="1">
            <x v="0"/>
          </reference>
        </references>
      </pivotArea>
    </format>
    <format dxfId="42">
      <pivotArea dataOnly="0" labelOnly="1" fieldPosition="0">
        <references count="1">
          <reference field="4294967294" count="1">
            <x v="1"/>
          </reference>
        </references>
      </pivotArea>
    </format>
    <format dxfId="43">
      <pivotArea dataOnly="0" labelOnly="1" fieldPosition="0">
        <references count="1">
          <reference field="4294967294" count="1">
            <x v="2"/>
          </reference>
        </references>
      </pivotArea>
    </format>
    <format dxfId="44">
      <pivotArea dataOnly="0" labelOnly="1" fieldPosition="0">
        <references count="1">
          <reference field="4294967294" count="1">
            <x v="3"/>
          </reference>
        </references>
      </pivotArea>
    </format>
    <format dxfId="45">
      <pivotArea collapsedLevelsAreSubtotals="1" fieldPosition="0">
        <references count="1">
          <reference field="2" count="1" selected="0">
            <x v="0"/>
          </reference>
        </references>
      </pivotArea>
    </format>
    <format dxfId="46">
      <pivotArea collapsedLevelsAreSubtotals="1" fieldPosition="0">
        <references count="1">
          <reference field="2" count="1" selected="0">
            <x v="1"/>
          </reference>
        </references>
      </pivotArea>
    </format>
    <format dxfId="47">
      <pivotArea collapsedLevelsAreSubtotals="1" fieldPosition="0">
        <references count="1">
          <reference field="2" count="1" selected="0">
            <x v="2"/>
          </reference>
        </references>
      </pivotArea>
    </format>
    <format dxfId="48">
      <pivotArea collapsedLevelsAreSubtotals="1" fieldPosition="0">
        <references count="1">
          <reference field="2" count="1" selected="0">
            <x v="3"/>
          </reference>
        </references>
      </pivotArea>
    </format>
    <format dxfId="49">
      <pivotArea collapsedLevelsAreSubtotals="1" fieldPosition="0">
        <references count="1">
          <reference field="2" count="1" selected="0">
            <x v="4"/>
          </reference>
        </references>
      </pivotArea>
    </format>
    <format dxfId="50">
      <pivotArea collapsedLevelsAreSubtotals="1" fieldPosition="0">
        <references count="1">
          <reference field="2" count="1" selected="0">
            <x v="5"/>
          </reference>
        </references>
      </pivotArea>
    </format>
    <format dxfId="51">
      <pivotArea collapsedLevelsAreSubtotals="1" fieldPosition="0">
        <references count="1">
          <reference field="2" count="1" selected="0">
            <x v="6"/>
          </reference>
        </references>
      </pivotArea>
    </format>
    <format dxfId="52">
      <pivotArea collapsedLevelsAreSubtotals="1" fieldPosition="0">
        <references count="1">
          <reference field="2" count="1" selected="0">
            <x v="7"/>
          </reference>
        </references>
      </pivotArea>
    </format>
    <format dxfId="53">
      <pivotArea collapsedLevelsAreSubtotals="1" fieldPosition="0">
        <references count="1">
          <reference field="2" count="1" selected="0">
            <x v="8"/>
          </reference>
        </references>
      </pivotArea>
    </format>
    <format dxfId="54">
      <pivotArea collapsedLevelsAreSubtotals="1" fieldPosition="0">
        <references count="1">
          <reference field="2" count="1" selected="0">
            <x v="9"/>
          </reference>
        </references>
      </pivotArea>
    </format>
    <format dxfId="55">
      <pivotArea collapsedLevelsAreSubtotals="1" fieldPosition="0">
        <references count="1">
          <reference field="2" count="1" selected="0">
            <x v="10"/>
          </reference>
        </references>
      </pivotArea>
    </format>
    <format dxfId="56">
      <pivotArea collapsedLevelsAreSubtotals="1" fieldPosition="0">
        <references count="1">
          <reference field="2" count="1" selected="0">
            <x v="11"/>
          </reference>
        </references>
      </pivotArea>
    </format>
    <format dxfId="57">
      <pivotArea collapsedLevelsAreSubtotals="1" fieldPosition="0">
        <references count="1">
          <reference field="2" count="1" selected="0">
            <x v="12"/>
          </reference>
        </references>
      </pivotArea>
    </format>
    <format dxfId="58">
      <pivotArea collapsedLevelsAreSubtotals="1" fieldPosition="0">
        <references count="1">
          <reference field="2" count="1" selected="0">
            <x v="13"/>
          </reference>
        </references>
      </pivotArea>
    </format>
    <format dxfId="59">
      <pivotArea collapsedLevelsAreSubtotals="1" fieldPosition="0">
        <references count="1">
          <reference field="2" count="1" selected="0">
            <x v="14"/>
          </reference>
        </references>
      </pivotArea>
    </format>
    <format dxfId="60">
      <pivotArea collapsedLevelsAreSubtotals="1" fieldPosition="0">
        <references count="1">
          <reference field="2" count="1" selected="0">
            <x v="15"/>
          </reference>
        </references>
      </pivotArea>
    </format>
    <format dxfId="61">
      <pivotArea collapsedLevelsAreSubtotals="1" fieldPosition="0">
        <references count="1">
          <reference field="2" count="1" selected="0">
            <x v="16"/>
          </reference>
        </references>
      </pivotArea>
    </format>
    <format dxfId="62">
      <pivotArea collapsedLevelsAreSubtotals="1" fieldPosition="0">
        <references count="1">
          <reference field="2" count="1" selected="0">
            <x v="17"/>
          </reference>
        </references>
      </pivotArea>
    </format>
    <format dxfId="63">
      <pivotArea collapsedLevelsAreSubtotals="1" fieldPosition="0">
        <references count="1">
          <reference field="2" count="1" selected="0">
            <x v="18"/>
          </reference>
        </references>
      </pivotArea>
    </format>
    <format dxfId="64">
      <pivotArea collapsedLevelsAreSubtotals="1" fieldPosition="0">
        <references count="1">
          <reference field="2" count="1" selected="0">
            <x v="19"/>
          </reference>
        </references>
      </pivotArea>
    </format>
    <format dxfId="65">
      <pivotArea collapsedLevelsAreSubtotals="1" fieldPosition="0">
        <references count="1">
          <reference field="2" count="1" selected="0">
            <x v="20"/>
          </reference>
        </references>
      </pivotArea>
    </format>
    <format dxfId="66">
      <pivotArea collapsedLevelsAreSubtotals="1" fieldPosition="0">
        <references count="1">
          <reference field="2" count="1" selected="0">
            <x v="21"/>
          </reference>
        </references>
      </pivotArea>
    </format>
    <format dxfId="67">
      <pivotArea collapsedLevelsAreSubtotals="1" fieldPosition="0">
        <references count="1">
          <reference field="2" count="1" selected="0">
            <x v="22"/>
          </reference>
        </references>
      </pivotArea>
    </format>
    <format dxfId="68">
      <pivotArea collapsedLevelsAreSubtotals="1" fieldPosition="0">
        <references count="1">
          <reference field="2" count="1" selected="0">
            <x v="23"/>
          </reference>
        </references>
      </pivotArea>
    </format>
    <format dxfId="69">
      <pivotArea collapsedLevelsAreSubtotals="1" fieldPosition="0">
        <references count="1">
          <reference field="2" count="1" selected="0">
            <x v="24"/>
          </reference>
        </references>
      </pivotArea>
    </format>
    <format dxfId="70">
      <pivotArea collapsedLevelsAreSubtotals="1" fieldPosition="0">
        <references count="1">
          <reference field="2" count="1" selected="0">
            <x v="25"/>
          </reference>
        </references>
      </pivotArea>
    </format>
    <format dxfId="71">
      <pivotArea collapsedLevelsAreSubtotals="1" fieldPosition="0">
        <references count="1">
          <reference field="2" count="1" selected="0">
            <x v="26"/>
          </reference>
        </references>
      </pivotArea>
    </format>
    <format dxfId="72">
      <pivotArea collapsedLevelsAreSubtotals="1" fieldPosition="0">
        <references count="1">
          <reference field="2" count="1" selected="0">
            <x v="27"/>
          </reference>
        </references>
      </pivotArea>
    </format>
    <format dxfId="73">
      <pivotArea collapsedLevelsAreSubtotals="1" fieldPosition="0">
        <references count="1">
          <reference field="2" count="1" selected="0">
            <x v="28"/>
          </reference>
        </references>
      </pivotArea>
    </format>
    <format dxfId="74">
      <pivotArea collapsedLevelsAreSubtotals="1" fieldPosition="0">
        <references count="1">
          <reference field="2" count="1" selected="0">
            <x v="29"/>
          </reference>
        </references>
      </pivotArea>
    </format>
    <format dxfId="75">
      <pivotArea collapsedLevelsAreSubtotals="1" fieldPosition="0">
        <references count="1">
          <reference field="2" count="1" selected="0">
            <x v="30"/>
          </reference>
        </references>
      </pivotArea>
    </format>
    <format dxfId="76">
      <pivotArea collapsedLevelsAreSubtotals="1" fieldPosition="0">
        <references count="1">
          <reference field="2" count="1" selected="0">
            <x v="31"/>
          </reference>
        </references>
      </pivotArea>
    </format>
    <format dxfId="77">
      <pivotArea collapsedLevelsAreSubtotals="1" fieldPosition="0">
        <references count="1">
          <reference field="2" count="1" selected="0">
            <x v="32"/>
          </reference>
        </references>
      </pivotArea>
    </format>
    <format dxfId="78">
      <pivotArea collapsedLevelsAreSubtotals="1" fieldPosition="0">
        <references count="1">
          <reference field="2" count="1" selected="0">
            <x v="33"/>
          </reference>
        </references>
      </pivotArea>
    </format>
    <format dxfId="79">
      <pivotArea collapsedLevelsAreSubtotals="1" fieldPosition="0">
        <references count="1">
          <reference field="2" count="1" selected="0">
            <x v="34"/>
          </reference>
        </references>
      </pivotArea>
    </format>
    <format dxfId="80">
      <pivotArea collapsedLevelsAreSubtotals="1" fieldPosition="0">
        <references count="1">
          <reference field="2" count="1" selected="0">
            <x v="35"/>
          </reference>
        </references>
      </pivotArea>
    </format>
    <format dxfId="81">
      <pivotArea collapsedLevelsAreSubtotals="1" fieldPosition="0">
        <references count="1">
          <reference field="2" count="1" selected="0">
            <x v="36"/>
          </reference>
        </references>
      </pivotArea>
    </format>
    <format dxfId="82">
      <pivotArea collapsedLevelsAreSubtotals="1" fieldPosition="0">
        <references count="1">
          <reference field="2" count="1" selected="0">
            <x v="37"/>
          </reference>
        </references>
      </pivotArea>
    </format>
    <format dxfId="83">
      <pivotArea collapsedLevelsAreSubtotals="1" fieldPosition="0">
        <references count="1">
          <reference field="2" count="1" selected="0">
            <x v="38"/>
          </reference>
        </references>
      </pivotArea>
    </format>
    <format dxfId="84">
      <pivotArea dataOnly="0" labelOnly="1" grandRow="1" fieldPosition="0"/>
    </format>
    <format dxfId="85">
      <pivotArea grandRow="1" collapsedLevelsAreSubtotals="1" fieldPosition="0"/>
    </format>
    <format dxfId="86">
      <pivotArea field="2" type="button" dataOnly="0" labelOnly="1" outline="0" fieldPosition="0"/>
    </format>
    <format dxfId="87">
      <pivotArea dataOnly="0" labelOnly="1" fieldPosition="0">
        <references count="1">
          <reference field="2" count="1">
            <x v="0"/>
          </reference>
        </references>
      </pivotArea>
    </format>
    <format dxfId="88">
      <pivotArea dataOnly="0" labelOnly="1" fieldPosition="0">
        <references count="1">
          <reference field="2" count="1">
            <x v="1"/>
          </reference>
        </references>
      </pivotArea>
    </format>
    <format dxfId="89">
      <pivotArea dataOnly="0" labelOnly="1" fieldPosition="0">
        <references count="1">
          <reference field="2" count="1">
            <x v="2"/>
          </reference>
        </references>
      </pivotArea>
    </format>
    <format dxfId="90">
      <pivotArea dataOnly="0" labelOnly="1" fieldPosition="0">
        <references count="1">
          <reference field="2" count="1">
            <x v="3"/>
          </reference>
        </references>
      </pivotArea>
    </format>
    <format dxfId="91">
      <pivotArea dataOnly="0" labelOnly="1" fieldPosition="0">
        <references count="1">
          <reference field="2" count="1">
            <x v="4"/>
          </reference>
        </references>
      </pivotArea>
    </format>
    <format dxfId="92">
      <pivotArea dataOnly="0" labelOnly="1" fieldPosition="0">
        <references count="1">
          <reference field="2" count="1">
            <x v="5"/>
          </reference>
        </references>
      </pivotArea>
    </format>
    <format dxfId="93">
      <pivotArea dataOnly="0" labelOnly="1" fieldPosition="0">
        <references count="1">
          <reference field="2" count="1">
            <x v="6"/>
          </reference>
        </references>
      </pivotArea>
    </format>
    <format dxfId="94">
      <pivotArea dataOnly="0" labelOnly="1" fieldPosition="0">
        <references count="1">
          <reference field="2" count="1">
            <x v="7"/>
          </reference>
        </references>
      </pivotArea>
    </format>
    <format dxfId="95">
      <pivotArea dataOnly="0" labelOnly="1" fieldPosition="0">
        <references count="1">
          <reference field="2" count="1">
            <x v="8"/>
          </reference>
        </references>
      </pivotArea>
    </format>
    <format dxfId="96">
      <pivotArea dataOnly="0" labelOnly="1" fieldPosition="0">
        <references count="1">
          <reference field="2" count="1">
            <x v="9"/>
          </reference>
        </references>
      </pivotArea>
    </format>
    <format dxfId="97">
      <pivotArea dataOnly="0" labelOnly="1" fieldPosition="0">
        <references count="1">
          <reference field="2" count="1">
            <x v="10"/>
          </reference>
        </references>
      </pivotArea>
    </format>
    <format dxfId="98">
      <pivotArea dataOnly="0" labelOnly="1" fieldPosition="0">
        <references count="1">
          <reference field="2" count="1">
            <x v="11"/>
          </reference>
        </references>
      </pivotArea>
    </format>
    <format dxfId="99">
      <pivotArea dataOnly="0" labelOnly="1" fieldPosition="0">
        <references count="1">
          <reference field="2" count="1">
            <x v="12"/>
          </reference>
        </references>
      </pivotArea>
    </format>
    <format dxfId="100">
      <pivotArea dataOnly="0" labelOnly="1" fieldPosition="0">
        <references count="1">
          <reference field="2" count="1">
            <x v="13"/>
          </reference>
        </references>
      </pivotArea>
    </format>
    <format dxfId="101">
      <pivotArea dataOnly="0" labelOnly="1" fieldPosition="0">
        <references count="1">
          <reference field="2" count="1">
            <x v="14"/>
          </reference>
        </references>
      </pivotArea>
    </format>
    <format dxfId="102">
      <pivotArea dataOnly="0" labelOnly="1" fieldPosition="0">
        <references count="1">
          <reference field="2" count="1">
            <x v="15"/>
          </reference>
        </references>
      </pivotArea>
    </format>
    <format dxfId="103">
      <pivotArea dataOnly="0" labelOnly="1" fieldPosition="0">
        <references count="1">
          <reference field="2" count="1">
            <x v="16"/>
          </reference>
        </references>
      </pivotArea>
    </format>
    <format dxfId="104">
      <pivotArea dataOnly="0" labelOnly="1" fieldPosition="0">
        <references count="1">
          <reference field="2" count="1">
            <x v="17"/>
          </reference>
        </references>
      </pivotArea>
    </format>
    <format dxfId="105">
      <pivotArea dataOnly="0" labelOnly="1" fieldPosition="0">
        <references count="1">
          <reference field="2" count="1">
            <x v="18"/>
          </reference>
        </references>
      </pivotArea>
    </format>
    <format dxfId="106">
      <pivotArea dataOnly="0" labelOnly="1" fieldPosition="0">
        <references count="1">
          <reference field="2" count="1">
            <x v="19"/>
          </reference>
        </references>
      </pivotArea>
    </format>
    <format dxfId="107">
      <pivotArea dataOnly="0" labelOnly="1" fieldPosition="0">
        <references count="1">
          <reference field="2" count="1">
            <x v="20"/>
          </reference>
        </references>
      </pivotArea>
    </format>
    <format dxfId="108">
      <pivotArea dataOnly="0" labelOnly="1" fieldPosition="0">
        <references count="1">
          <reference field="2" count="1">
            <x v="21"/>
          </reference>
        </references>
      </pivotArea>
    </format>
    <format dxfId="109">
      <pivotArea dataOnly="0" labelOnly="1" fieldPosition="0">
        <references count="1">
          <reference field="2" count="1">
            <x v="22"/>
          </reference>
        </references>
      </pivotArea>
    </format>
    <format dxfId="110">
      <pivotArea dataOnly="0" labelOnly="1" fieldPosition="0">
        <references count="1">
          <reference field="2" count="1">
            <x v="23"/>
          </reference>
        </references>
      </pivotArea>
    </format>
    <format dxfId="111">
      <pivotArea dataOnly="0" labelOnly="1" fieldPosition="0">
        <references count="1">
          <reference field="2" count="1">
            <x v="24"/>
          </reference>
        </references>
      </pivotArea>
    </format>
    <format dxfId="112">
      <pivotArea dataOnly="0" labelOnly="1" fieldPosition="0">
        <references count="1">
          <reference field="2" count="1">
            <x v="25"/>
          </reference>
        </references>
      </pivotArea>
    </format>
    <format dxfId="113">
      <pivotArea dataOnly="0" labelOnly="1" fieldPosition="0">
        <references count="1">
          <reference field="2" count="1">
            <x v="26"/>
          </reference>
        </references>
      </pivotArea>
    </format>
    <format dxfId="114">
      <pivotArea dataOnly="0" labelOnly="1" fieldPosition="0">
        <references count="1">
          <reference field="2" count="1">
            <x v="27"/>
          </reference>
        </references>
      </pivotArea>
    </format>
    <format dxfId="115">
      <pivotArea dataOnly="0" labelOnly="1" fieldPosition="0">
        <references count="1">
          <reference field="2" count="1">
            <x v="28"/>
          </reference>
        </references>
      </pivotArea>
    </format>
    <format dxfId="116">
      <pivotArea dataOnly="0" labelOnly="1" fieldPosition="0">
        <references count="1">
          <reference field="2" count="1">
            <x v="29"/>
          </reference>
        </references>
      </pivotArea>
    </format>
    <format dxfId="117">
      <pivotArea dataOnly="0" labelOnly="1" fieldPosition="0">
        <references count="1">
          <reference field="2" count="1">
            <x v="30"/>
          </reference>
        </references>
      </pivotArea>
    </format>
    <format dxfId="118">
      <pivotArea dataOnly="0" labelOnly="1" fieldPosition="0">
        <references count="1">
          <reference field="2" count="1">
            <x v="31"/>
          </reference>
        </references>
      </pivotArea>
    </format>
    <format dxfId="119">
      <pivotArea dataOnly="0" labelOnly="1" fieldPosition="0">
        <references count="1">
          <reference field="2" count="1">
            <x v="32"/>
          </reference>
        </references>
      </pivotArea>
    </format>
    <format dxfId="120">
      <pivotArea dataOnly="0" labelOnly="1" fieldPosition="0">
        <references count="1">
          <reference field="2" count="1">
            <x v="33"/>
          </reference>
        </references>
      </pivotArea>
    </format>
    <format dxfId="121">
      <pivotArea dataOnly="0" labelOnly="1" fieldPosition="0">
        <references count="1">
          <reference field="2" count="1">
            <x v="34"/>
          </reference>
        </references>
      </pivotArea>
    </format>
    <format dxfId="122">
      <pivotArea dataOnly="0" labelOnly="1" fieldPosition="0">
        <references count="1">
          <reference field="2" count="1">
            <x v="35"/>
          </reference>
        </references>
      </pivotArea>
    </format>
    <format dxfId="123">
      <pivotArea dataOnly="0" labelOnly="1" fieldPosition="0">
        <references count="1">
          <reference field="2" count="1">
            <x v="36"/>
          </reference>
        </references>
      </pivotArea>
    </format>
    <format dxfId="124">
      <pivotArea dataOnly="0" labelOnly="1" fieldPosition="0">
        <references count="1">
          <reference field="2" count="1">
            <x v="37"/>
          </reference>
        </references>
      </pivotArea>
    </format>
    <format dxfId="125">
      <pivotArea dataOnly="0" labelOnly="1" fieldPosition="0">
        <references count="1">
          <reference field="2" count="1">
            <x v="38"/>
          </reference>
        </references>
      </pivotArea>
    </format>
    <format dxfId="126">
      <pivotArea dataOnly="0" labelOnly="1" fieldPosition="0">
        <references count="1">
          <reference field="4294967294" count="1">
            <x v="0"/>
          </reference>
        </references>
      </pivotArea>
    </format>
    <format dxfId="127">
      <pivotArea dataOnly="0" labelOnly="1" fieldPosition="0">
        <references count="1">
          <reference field="4294967294" count="1">
            <x v="1"/>
          </reference>
        </references>
      </pivotArea>
    </format>
    <format dxfId="128">
      <pivotArea dataOnly="0" labelOnly="1" fieldPosition="0">
        <references count="1">
          <reference field="4294967294" count="1">
            <x v="2"/>
          </reference>
        </references>
      </pivotArea>
    </format>
    <format dxfId="129">
      <pivotArea dataOnly="0" labelOnly="1" fieldPosition="0">
        <references count="1">
          <reference field="4294967294" count="1">
            <x v="3"/>
          </reference>
        </references>
      </pivotArea>
    </format>
    <format dxfId="130">
      <pivotArea collapsedLevelsAreSubtotals="1" fieldPosition="0">
        <references count="1">
          <reference field="2" count="1" selected="0">
            <x v="0"/>
          </reference>
        </references>
      </pivotArea>
    </format>
    <format dxfId="131">
      <pivotArea collapsedLevelsAreSubtotals="1" fieldPosition="0">
        <references count="1">
          <reference field="2" count="1" selected="0">
            <x v="1"/>
          </reference>
        </references>
      </pivotArea>
    </format>
    <format dxfId="132">
      <pivotArea collapsedLevelsAreSubtotals="1" fieldPosition="0">
        <references count="1">
          <reference field="2" count="1" selected="0">
            <x v="2"/>
          </reference>
        </references>
      </pivotArea>
    </format>
    <format dxfId="133">
      <pivotArea collapsedLevelsAreSubtotals="1" fieldPosition="0">
        <references count="1">
          <reference field="2" count="1" selected="0">
            <x v="3"/>
          </reference>
        </references>
      </pivotArea>
    </format>
    <format dxfId="134">
      <pivotArea collapsedLevelsAreSubtotals="1" fieldPosition="0">
        <references count="1">
          <reference field="2" count="1" selected="0">
            <x v="4"/>
          </reference>
        </references>
      </pivotArea>
    </format>
    <format dxfId="135">
      <pivotArea collapsedLevelsAreSubtotals="1" fieldPosition="0">
        <references count="1">
          <reference field="2" count="1" selected="0">
            <x v="5"/>
          </reference>
        </references>
      </pivotArea>
    </format>
    <format dxfId="136">
      <pivotArea collapsedLevelsAreSubtotals="1" fieldPosition="0">
        <references count="1">
          <reference field="2" count="1" selected="0">
            <x v="6"/>
          </reference>
        </references>
      </pivotArea>
    </format>
    <format dxfId="137">
      <pivotArea collapsedLevelsAreSubtotals="1" fieldPosition="0">
        <references count="1">
          <reference field="2" count="1" selected="0">
            <x v="7"/>
          </reference>
        </references>
      </pivotArea>
    </format>
    <format dxfId="138">
      <pivotArea collapsedLevelsAreSubtotals="1" fieldPosition="0">
        <references count="1">
          <reference field="2" count="1" selected="0">
            <x v="8"/>
          </reference>
        </references>
      </pivotArea>
    </format>
    <format dxfId="139">
      <pivotArea collapsedLevelsAreSubtotals="1" fieldPosition="0">
        <references count="1">
          <reference field="2" count="1" selected="0">
            <x v="9"/>
          </reference>
        </references>
      </pivotArea>
    </format>
    <format dxfId="140">
      <pivotArea collapsedLevelsAreSubtotals="1" fieldPosition="0">
        <references count="1">
          <reference field="2" count="1" selected="0">
            <x v="10"/>
          </reference>
        </references>
      </pivotArea>
    </format>
    <format dxfId="141">
      <pivotArea collapsedLevelsAreSubtotals="1" fieldPosition="0">
        <references count="1">
          <reference field="2" count="1" selected="0">
            <x v="11"/>
          </reference>
        </references>
      </pivotArea>
    </format>
    <format dxfId="142">
      <pivotArea collapsedLevelsAreSubtotals="1" fieldPosition="0">
        <references count="1">
          <reference field="2" count="1" selected="0">
            <x v="12"/>
          </reference>
        </references>
      </pivotArea>
    </format>
    <format dxfId="143">
      <pivotArea collapsedLevelsAreSubtotals="1" fieldPosition="0">
        <references count="1">
          <reference field="2" count="1" selected="0">
            <x v="13"/>
          </reference>
        </references>
      </pivotArea>
    </format>
    <format dxfId="144">
      <pivotArea collapsedLevelsAreSubtotals="1" fieldPosition="0">
        <references count="1">
          <reference field="2" count="1" selected="0">
            <x v="14"/>
          </reference>
        </references>
      </pivotArea>
    </format>
    <format dxfId="145">
      <pivotArea collapsedLevelsAreSubtotals="1" fieldPosition="0">
        <references count="1">
          <reference field="2" count="1" selected="0">
            <x v="15"/>
          </reference>
        </references>
      </pivotArea>
    </format>
    <format dxfId="146">
      <pivotArea collapsedLevelsAreSubtotals="1" fieldPosition="0">
        <references count="1">
          <reference field="2" count="1" selected="0">
            <x v="16"/>
          </reference>
        </references>
      </pivotArea>
    </format>
    <format dxfId="147">
      <pivotArea collapsedLevelsAreSubtotals="1" fieldPosition="0">
        <references count="1">
          <reference field="2" count="1" selected="0">
            <x v="17"/>
          </reference>
        </references>
      </pivotArea>
    </format>
    <format dxfId="148">
      <pivotArea collapsedLevelsAreSubtotals="1" fieldPosition="0">
        <references count="1">
          <reference field="2" count="1" selected="0">
            <x v="18"/>
          </reference>
        </references>
      </pivotArea>
    </format>
    <format dxfId="149">
      <pivotArea collapsedLevelsAreSubtotals="1" fieldPosition="0">
        <references count="1">
          <reference field="2" count="1" selected="0">
            <x v="19"/>
          </reference>
        </references>
      </pivotArea>
    </format>
    <format dxfId="150">
      <pivotArea collapsedLevelsAreSubtotals="1" fieldPosition="0">
        <references count="1">
          <reference field="2" count="1" selected="0">
            <x v="20"/>
          </reference>
        </references>
      </pivotArea>
    </format>
    <format dxfId="151">
      <pivotArea collapsedLevelsAreSubtotals="1" fieldPosition="0">
        <references count="1">
          <reference field="2" count="1" selected="0">
            <x v="21"/>
          </reference>
        </references>
      </pivotArea>
    </format>
    <format dxfId="152">
      <pivotArea collapsedLevelsAreSubtotals="1" fieldPosition="0">
        <references count="1">
          <reference field="2" count="1" selected="0">
            <x v="22"/>
          </reference>
        </references>
      </pivotArea>
    </format>
    <format dxfId="153">
      <pivotArea collapsedLevelsAreSubtotals="1" fieldPosition="0">
        <references count="1">
          <reference field="2" count="1" selected="0">
            <x v="23"/>
          </reference>
        </references>
      </pivotArea>
    </format>
    <format dxfId="154">
      <pivotArea collapsedLevelsAreSubtotals="1" fieldPosition="0">
        <references count="1">
          <reference field="2" count="1" selected="0">
            <x v="24"/>
          </reference>
        </references>
      </pivotArea>
    </format>
    <format dxfId="155">
      <pivotArea collapsedLevelsAreSubtotals="1" fieldPosition="0">
        <references count="1">
          <reference field="2" count="1" selected="0">
            <x v="25"/>
          </reference>
        </references>
      </pivotArea>
    </format>
    <format dxfId="156">
      <pivotArea collapsedLevelsAreSubtotals="1" fieldPosition="0">
        <references count="1">
          <reference field="2" count="1" selected="0">
            <x v="26"/>
          </reference>
        </references>
      </pivotArea>
    </format>
    <format dxfId="157">
      <pivotArea collapsedLevelsAreSubtotals="1" fieldPosition="0">
        <references count="1">
          <reference field="2" count="1" selected="0">
            <x v="27"/>
          </reference>
        </references>
      </pivotArea>
    </format>
    <format dxfId="158">
      <pivotArea collapsedLevelsAreSubtotals="1" fieldPosition="0">
        <references count="1">
          <reference field="2" count="1" selected="0">
            <x v="28"/>
          </reference>
        </references>
      </pivotArea>
    </format>
    <format dxfId="159">
      <pivotArea collapsedLevelsAreSubtotals="1" fieldPosition="0">
        <references count="1">
          <reference field="2" count="1" selected="0">
            <x v="29"/>
          </reference>
        </references>
      </pivotArea>
    </format>
    <format dxfId="160">
      <pivotArea collapsedLevelsAreSubtotals="1" fieldPosition="0">
        <references count="1">
          <reference field="2" count="1" selected="0">
            <x v="30"/>
          </reference>
        </references>
      </pivotArea>
    </format>
    <format dxfId="161">
      <pivotArea collapsedLevelsAreSubtotals="1" fieldPosition="0">
        <references count="1">
          <reference field="2" count="1" selected="0">
            <x v="31"/>
          </reference>
        </references>
      </pivotArea>
    </format>
    <format dxfId="162">
      <pivotArea collapsedLevelsAreSubtotals="1" fieldPosition="0">
        <references count="1">
          <reference field="2" count="1" selected="0">
            <x v="32"/>
          </reference>
        </references>
      </pivotArea>
    </format>
    <format dxfId="163">
      <pivotArea collapsedLevelsAreSubtotals="1" fieldPosition="0">
        <references count="1">
          <reference field="2" count="1" selected="0">
            <x v="33"/>
          </reference>
        </references>
      </pivotArea>
    </format>
    <format dxfId="164">
      <pivotArea collapsedLevelsAreSubtotals="1" fieldPosition="0">
        <references count="1">
          <reference field="2" count="1" selected="0">
            <x v="34"/>
          </reference>
        </references>
      </pivotArea>
    </format>
    <format dxfId="165">
      <pivotArea collapsedLevelsAreSubtotals="1" fieldPosition="0">
        <references count="1">
          <reference field="2" count="1" selected="0">
            <x v="35"/>
          </reference>
        </references>
      </pivotArea>
    </format>
    <format dxfId="166">
      <pivotArea collapsedLevelsAreSubtotals="1" fieldPosition="0">
        <references count="1">
          <reference field="2" count="1" selected="0">
            <x v="36"/>
          </reference>
        </references>
      </pivotArea>
    </format>
    <format dxfId="167">
      <pivotArea collapsedLevelsAreSubtotals="1" fieldPosition="0">
        <references count="1">
          <reference field="2" count="1" selected="0">
            <x v="37"/>
          </reference>
        </references>
      </pivotArea>
    </format>
    <format dxfId="168">
      <pivotArea collapsedLevelsAreSubtotals="1" fieldPosition="0">
        <references count="1">
          <reference field="2" count="1" selected="0">
            <x v="38"/>
          </reference>
        </references>
      </pivotArea>
    </format>
    <format dxfId="169">
      <pivotArea dataOnly="0" labelOnly="1" grandRow="1" fieldPosition="0"/>
    </format>
    <format dxfId="170">
      <pivotArea grandRow="1" collapsedLevelsAreSubtotals="1" fieldPosition="0"/>
    </format>
    <format dxfId="171">
      <pivotArea dataOnly="0" labelOnly="1" grandRow="1" fieldPosition="0"/>
    </format>
    <format dxfId="172">
      <pivotArea grandRow="1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7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O46:S53" firstHeaderRow="0" firstDataRow="1" firstDataCol="1"/>
  <pivotFields count="13">
    <pivotField dataField="1" compact="0" showAll="0">
      <items count="49">
        <item x="4"/>
        <item x="11"/>
        <item x="15"/>
        <item x="24"/>
        <item x="3"/>
        <item x="39"/>
        <item x="20"/>
        <item x="8"/>
        <item x="12"/>
        <item x="33"/>
        <item x="26"/>
        <item x="7"/>
        <item x="17"/>
        <item x="1"/>
        <item x="18"/>
        <item x="25"/>
        <item x="44"/>
        <item x="2"/>
        <item x="6"/>
        <item x="47"/>
        <item x="23"/>
        <item x="36"/>
        <item x="16"/>
        <item x="14"/>
        <item x="41"/>
        <item x="42"/>
        <item x="34"/>
        <item x="27"/>
        <item x="30"/>
        <item x="35"/>
        <item x="0"/>
        <item x="46"/>
        <item x="21"/>
        <item x="22"/>
        <item x="19"/>
        <item x="40"/>
        <item x="43"/>
        <item x="9"/>
        <item x="37"/>
        <item x="45"/>
        <item x="10"/>
        <item x="13"/>
        <item x="29"/>
        <item x="28"/>
        <item x="5"/>
        <item x="31"/>
        <item x="38"/>
        <item x="32"/>
        <item t="default"/>
      </items>
    </pivotField>
    <pivotField compact="0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showAll="0">
      <items count="2">
        <item x="0"/>
        <item t="default"/>
      </items>
    </pivotField>
    <pivotField dataField="1" compact="0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dataField="1" compact="0" numFmtId="178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axis="axisRow"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numFmtId="176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numFmtId="177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compact="0" numFmtId="177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6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求和项:日销量" fld="5" baseField="0" baseItem="0" numFmtId="178"/>
    <dataField name="求和项:月销量" fld="4" baseField="0" baseItem="0"/>
    <dataField name="求和项:月销售额" fld="7" baseField="0" baseItem="0" numFmtId="178"/>
    <dataField name="计数项:ASIN" fld="0" subtotal="count" baseField="0" baseItem="0"/>
  </dataFields>
  <formats count="44">
    <format dxfId="173">
      <pivotArea field="6" type="button" dataOnly="0" labelOnly="1" outline="0" fieldPosition="0"/>
    </format>
    <format dxfId="174">
      <pivotArea dataOnly="0" labelOnly="1" fieldPosition="0">
        <references count="1">
          <reference field="6" count="1">
            <x v="1"/>
          </reference>
        </references>
      </pivotArea>
    </format>
    <format dxfId="175">
      <pivotArea dataOnly="0" labelOnly="1" fieldPosition="0">
        <references count="1">
          <reference field="6" count="1">
            <x v="2"/>
          </reference>
        </references>
      </pivotArea>
    </format>
    <format dxfId="176">
      <pivotArea dataOnly="0" labelOnly="1" fieldPosition="0">
        <references count="1">
          <reference field="6" count="1">
            <x v="3"/>
          </reference>
        </references>
      </pivotArea>
    </format>
    <format dxfId="177">
      <pivotArea dataOnly="0" labelOnly="1" fieldPosition="0">
        <references count="1">
          <reference field="6" count="1">
            <x v="4"/>
          </reference>
        </references>
      </pivotArea>
    </format>
    <format dxfId="178">
      <pivotArea dataOnly="0" labelOnly="1" fieldPosition="0">
        <references count="1">
          <reference field="6" count="1">
            <x v="5"/>
          </reference>
        </references>
      </pivotArea>
    </format>
    <format dxfId="179">
      <pivotArea dataOnly="0" labelOnly="1" fieldPosition="0">
        <references count="1">
          <reference field="6" count="1">
            <x v="6"/>
          </reference>
        </references>
      </pivotArea>
    </format>
    <format dxfId="180">
      <pivotArea dataOnly="0" labelOnly="1" fieldPosition="0">
        <references count="1">
          <reference field="4294967294" count="1">
            <x v="0"/>
          </reference>
        </references>
      </pivotArea>
    </format>
    <format dxfId="181">
      <pivotArea dataOnly="0" labelOnly="1" fieldPosition="0">
        <references count="1">
          <reference field="4294967294" count="1">
            <x v="1"/>
          </reference>
        </references>
      </pivotArea>
    </format>
    <format dxfId="182">
      <pivotArea dataOnly="0" labelOnly="1" fieldPosition="0">
        <references count="1">
          <reference field="4294967294" count="1">
            <x v="2"/>
          </reference>
        </references>
      </pivotArea>
    </format>
    <format dxfId="183">
      <pivotArea dataOnly="0" labelOnly="1" fieldPosition="0">
        <references count="1">
          <reference field="4294967294" count="1">
            <x v="3"/>
          </reference>
        </references>
      </pivotArea>
    </format>
    <format dxfId="184">
      <pivotArea collapsedLevelsAreSubtotals="1" fieldPosition="0">
        <references count="1">
          <reference field="6" count="1" selected="0">
            <x v="1"/>
          </reference>
        </references>
      </pivotArea>
    </format>
    <format dxfId="185">
      <pivotArea collapsedLevelsAreSubtotals="1" fieldPosition="0">
        <references count="1">
          <reference field="6" count="1" selected="0">
            <x v="2"/>
          </reference>
        </references>
      </pivotArea>
    </format>
    <format dxfId="186">
      <pivotArea collapsedLevelsAreSubtotals="1" fieldPosition="0">
        <references count="1">
          <reference field="6" count="1" selected="0">
            <x v="3"/>
          </reference>
        </references>
      </pivotArea>
    </format>
    <format dxfId="187">
      <pivotArea collapsedLevelsAreSubtotals="1" fieldPosition="0">
        <references count="1">
          <reference field="6" count="1" selected="0">
            <x v="4"/>
          </reference>
        </references>
      </pivotArea>
    </format>
    <format dxfId="188">
      <pivotArea collapsedLevelsAreSubtotals="1" fieldPosition="0">
        <references count="1">
          <reference field="6" count="1" selected="0">
            <x v="5"/>
          </reference>
        </references>
      </pivotArea>
    </format>
    <format dxfId="189">
      <pivotArea collapsedLevelsAreSubtotals="1" fieldPosition="0">
        <references count="1">
          <reference field="6" count="1" selected="0">
            <x v="6"/>
          </reference>
        </references>
      </pivotArea>
    </format>
    <format dxfId="190">
      <pivotArea type="all" dataOnly="0" outline="0" fieldPosition="0"/>
    </format>
    <format dxfId="191">
      <pivotArea collapsedLevelsAreSubtotals="1" fieldPosition="0">
        <references count="2">
          <reference field="6" count="1" selected="0">
            <x v="1"/>
          </reference>
          <reference field="4294967294" count="1" selected="0">
            <x v="3"/>
          </reference>
        </references>
      </pivotArea>
    </format>
    <format dxfId="192">
      <pivotArea collapsedLevelsAreSubtotals="1" fieldPosition="0">
        <references count="2">
          <reference field="6" count="1" selected="0">
            <x v="2"/>
          </reference>
          <reference field="4294967294" count="1" selected="0">
            <x v="3"/>
          </reference>
        </references>
      </pivotArea>
    </format>
    <format dxfId="193">
      <pivotArea collapsedLevelsAreSubtotals="1" fieldPosition="0">
        <references count="2">
          <reference field="6" count="1" selected="0">
            <x v="3"/>
          </reference>
          <reference field="4294967294" count="1" selected="0">
            <x v="3"/>
          </reference>
        </references>
      </pivotArea>
    </format>
    <format dxfId="194">
      <pivotArea collapsedLevelsAreSubtotals="1" fieldPosition="0">
        <references count="2">
          <reference field="6" count="1" selected="0">
            <x v="4"/>
          </reference>
          <reference field="4294967294" count="1" selected="0">
            <x v="3"/>
          </reference>
        </references>
      </pivotArea>
    </format>
    <format dxfId="195">
      <pivotArea collapsedLevelsAreSubtotals="1" fieldPosition="0">
        <references count="2">
          <reference field="6" count="1" selected="0">
            <x v="5"/>
          </reference>
          <reference field="4294967294" count="1" selected="0">
            <x v="3"/>
          </reference>
        </references>
      </pivotArea>
    </format>
    <format dxfId="196">
      <pivotArea collapsedLevelsAreSubtotals="1" fieldPosition="0">
        <references count="2">
          <reference field="6" count="1" selected="0">
            <x v="6"/>
          </reference>
          <reference field="4294967294" count="1" selected="0">
            <x v="3"/>
          </reference>
        </references>
      </pivotArea>
    </format>
    <format dxfId="197">
      <pivotArea field="6" type="button" dataOnly="0" labelOnly="1" outline="0" fieldPosition="0"/>
    </format>
    <format dxfId="198">
      <pivotArea dataOnly="0" labelOnly="1" fieldPosition="0">
        <references count="1">
          <reference field="4294967294" count="1">
            <x v="0"/>
          </reference>
        </references>
      </pivotArea>
    </format>
    <format dxfId="199">
      <pivotArea dataOnly="0" labelOnly="1" fieldPosition="0">
        <references count="1">
          <reference field="4294967294" count="1">
            <x v="1"/>
          </reference>
        </references>
      </pivotArea>
    </format>
    <format dxfId="200">
      <pivotArea dataOnly="0" labelOnly="1" fieldPosition="0">
        <references count="1">
          <reference field="4294967294" count="1">
            <x v="2"/>
          </reference>
        </references>
      </pivotArea>
    </format>
    <format dxfId="201">
      <pivotArea dataOnly="0" labelOnly="1" fieldPosition="0">
        <references count="1">
          <reference field="4294967294" count="1">
            <x v="3"/>
          </reference>
        </references>
      </pivotArea>
    </format>
    <format dxfId="202">
      <pivotArea dataOnly="0" labelOnly="1" grandRow="1" fieldPosition="0"/>
    </format>
    <format dxfId="203">
      <pivotArea grandRow="1" collapsedLevelsAreSubtotals="1" fieldPosition="0"/>
    </format>
    <format dxfId="204">
      <pivotArea dataOnly="0" labelOnly="1" fieldPosition="0">
        <references count="1">
          <reference field="6" count="1">
            <x v="1"/>
          </reference>
        </references>
      </pivotArea>
    </format>
    <format dxfId="205">
      <pivotArea dataOnly="0" labelOnly="1" fieldPosition="0">
        <references count="1">
          <reference field="6" count="1">
            <x v="2"/>
          </reference>
        </references>
      </pivotArea>
    </format>
    <format dxfId="206">
      <pivotArea dataOnly="0" labelOnly="1" fieldPosition="0">
        <references count="1">
          <reference field="6" count="1">
            <x v="3"/>
          </reference>
        </references>
      </pivotArea>
    </format>
    <format dxfId="207">
      <pivotArea dataOnly="0" labelOnly="1" fieldPosition="0">
        <references count="1">
          <reference field="6" count="1">
            <x v="4"/>
          </reference>
        </references>
      </pivotArea>
    </format>
    <format dxfId="208">
      <pivotArea dataOnly="0" labelOnly="1" fieldPosition="0">
        <references count="1">
          <reference field="6" count="1">
            <x v="5"/>
          </reference>
        </references>
      </pivotArea>
    </format>
    <format dxfId="209">
      <pivotArea dataOnly="0" labelOnly="1" fieldPosition="0">
        <references count="1">
          <reference field="6" count="1">
            <x v="6"/>
          </reference>
        </references>
      </pivotArea>
    </format>
    <format dxfId="210">
      <pivotArea collapsedLevelsAreSubtotals="1" fieldPosition="0">
        <references count="1">
          <reference field="6" count="1" selected="0">
            <x v="1"/>
          </reference>
        </references>
      </pivotArea>
    </format>
    <format dxfId="211">
      <pivotArea collapsedLevelsAreSubtotals="1" fieldPosition="0">
        <references count="1">
          <reference field="6" count="1" selected="0">
            <x v="2"/>
          </reference>
        </references>
      </pivotArea>
    </format>
    <format dxfId="212">
      <pivotArea collapsedLevelsAreSubtotals="1" fieldPosition="0">
        <references count="1">
          <reference field="6" count="1" selected="0">
            <x v="3"/>
          </reference>
        </references>
      </pivotArea>
    </format>
    <format dxfId="213">
      <pivotArea collapsedLevelsAreSubtotals="1" fieldPosition="0">
        <references count="1">
          <reference field="6" count="1" selected="0">
            <x v="4"/>
          </reference>
        </references>
      </pivotArea>
    </format>
    <format dxfId="214">
      <pivotArea collapsedLevelsAreSubtotals="1" fieldPosition="0">
        <references count="1">
          <reference field="6" count="1" selected="0">
            <x v="5"/>
          </reference>
        </references>
      </pivotArea>
    </format>
    <format dxfId="215">
      <pivotArea collapsedLevelsAreSubtotals="1" fieldPosition="0">
        <references count="1">
          <reference field="6" count="1" selected="0">
            <x v="6"/>
          </reference>
        </references>
      </pivotArea>
    </format>
    <format dxfId="216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9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O56:S60" firstHeaderRow="0" firstDataRow="1" firstDataCol="1"/>
  <pivotFields count="13">
    <pivotField dataField="1" compact="0" showAll="0">
      <items count="49">
        <item x="4"/>
        <item x="11"/>
        <item x="15"/>
        <item x="24"/>
        <item x="3"/>
        <item x="39"/>
        <item x="20"/>
        <item x="8"/>
        <item x="12"/>
        <item x="33"/>
        <item x="26"/>
        <item x="7"/>
        <item x="17"/>
        <item x="1"/>
        <item x="18"/>
        <item x="25"/>
        <item x="44"/>
        <item x="2"/>
        <item x="6"/>
        <item x="47"/>
        <item x="23"/>
        <item x="36"/>
        <item x="16"/>
        <item x="14"/>
        <item x="41"/>
        <item x="42"/>
        <item x="34"/>
        <item x="27"/>
        <item x="30"/>
        <item x="35"/>
        <item x="0"/>
        <item x="46"/>
        <item x="21"/>
        <item x="22"/>
        <item x="19"/>
        <item x="40"/>
        <item x="43"/>
        <item x="9"/>
        <item x="37"/>
        <item x="45"/>
        <item x="10"/>
        <item x="13"/>
        <item x="29"/>
        <item x="28"/>
        <item x="5"/>
        <item x="31"/>
        <item x="38"/>
        <item x="32"/>
        <item t="default"/>
      </items>
    </pivotField>
    <pivotField compact="0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showAll="0">
      <items count="2">
        <item x="0"/>
        <item t="default"/>
      </items>
    </pivotField>
    <pivotField dataField="1" compact="0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dataField="1" compact="0" numFmtId="178" showAll="0">
      <items count="48"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numFmtId="176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numFmtId="177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compact="0" numFmtId="177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9"/>
  </rowFields>
  <rowItems count="4"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求和项:日销量" fld="5" baseField="0" baseItem="0" numFmtId="178"/>
    <dataField name="求和项:月销量" fld="4" baseField="0" baseItem="0"/>
    <dataField name="求和项:月销售额" fld="7" baseField="0" baseItem="0"/>
    <dataField name="计数项:ASIN" fld="0" subtotal="count" baseField="0" baseItem="0"/>
  </dataFields>
  <formats count="3">
    <format dxfId="217">
      <pivotArea type="all" dataOnly="0" outline="0" fieldPosition="0"/>
    </format>
    <format dxfId="218">
      <pivotArea type="all" dataOnly="0" outline="0" fieldPosition="0"/>
    </format>
    <format dxfId="219">
      <pivotArea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数据透视表11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O63:S69" firstHeaderRow="0" firstDataRow="1" firstDataCol="1"/>
  <pivotFields count="7">
    <pivotField compact="0" numFmtId="177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dataField="1" compact="0" numFmtId="178" showAll="0">
      <items count="48">
        <item x="35"/>
        <item x="13"/>
        <item x="45"/>
        <item x="3"/>
        <item x="31"/>
        <item x="4"/>
        <item x="15"/>
        <item x="29"/>
        <item x="1"/>
        <item x="11"/>
        <item x="26"/>
        <item x="24"/>
        <item x="19"/>
        <item x="18"/>
        <item x="0"/>
        <item x="5"/>
        <item x="21"/>
        <item x="9"/>
        <item x="25"/>
        <item x="28"/>
        <item x="34"/>
        <item x="22"/>
        <item x="38"/>
        <item x="39"/>
        <item x="7"/>
        <item x="2"/>
        <item x="17"/>
        <item x="14"/>
        <item x="32"/>
        <item x="36"/>
        <item x="23"/>
        <item x="44"/>
        <item x="33"/>
        <item x="8"/>
        <item x="27"/>
        <item x="43"/>
        <item x="10"/>
        <item x="12"/>
        <item x="30"/>
        <item x="37"/>
        <item x="40"/>
        <item x="6"/>
        <item x="46"/>
        <item x="41"/>
        <item x="42"/>
        <item x="16"/>
        <item x="20"/>
        <item t="default"/>
      </items>
    </pivotField>
    <pivotField dataField="1" compact="0" showAll="0">
      <items count="48">
        <item x="35"/>
        <item x="13"/>
        <item x="45"/>
        <item x="3"/>
        <item x="31"/>
        <item x="4"/>
        <item x="15"/>
        <item x="29"/>
        <item x="1"/>
        <item x="11"/>
        <item x="26"/>
        <item x="24"/>
        <item x="19"/>
        <item x="18"/>
        <item x="0"/>
        <item x="5"/>
        <item x="21"/>
        <item x="9"/>
        <item x="25"/>
        <item x="28"/>
        <item x="34"/>
        <item x="22"/>
        <item x="38"/>
        <item x="39"/>
        <item x="7"/>
        <item x="2"/>
        <item x="17"/>
        <item x="14"/>
        <item x="32"/>
        <item x="36"/>
        <item x="23"/>
        <item x="44"/>
        <item x="33"/>
        <item x="8"/>
        <item x="27"/>
        <item x="43"/>
        <item x="10"/>
        <item x="12"/>
        <item x="30"/>
        <item x="37"/>
        <item x="40"/>
        <item x="6"/>
        <item x="46"/>
        <item x="41"/>
        <item x="42"/>
        <item x="16"/>
        <item x="20"/>
        <item t="default"/>
      </items>
    </pivotField>
    <pivotField dataField="1" compact="0" numFmtId="178" showAll="0">
      <items count="49">
        <item x="27"/>
        <item x="36"/>
        <item x="32"/>
        <item x="4"/>
        <item x="11"/>
        <item x="5"/>
        <item x="35"/>
        <item x="13"/>
        <item x="3"/>
        <item x="37"/>
        <item x="46"/>
        <item x="39"/>
        <item x="22"/>
        <item x="30"/>
        <item x="26"/>
        <item x="19"/>
        <item x="25"/>
        <item x="2"/>
        <item x="45"/>
        <item x="20"/>
        <item x="9"/>
        <item x="18"/>
        <item x="16"/>
        <item x="0"/>
        <item x="40"/>
        <item x="44"/>
        <item x="1"/>
        <item x="6"/>
        <item x="47"/>
        <item x="42"/>
        <item x="7"/>
        <item x="33"/>
        <item x="23"/>
        <item x="14"/>
        <item x="8"/>
        <item x="28"/>
        <item x="29"/>
        <item x="31"/>
        <item x="34"/>
        <item x="15"/>
        <item x="12"/>
        <item x="17"/>
        <item x="38"/>
        <item x="10"/>
        <item x="24"/>
        <item x="43"/>
        <item x="41"/>
        <item x="21"/>
        <item t="default"/>
      </items>
    </pivotField>
    <pivotField dataField="1" compact="0" showAll="0">
      <items count="2">
        <item x="0"/>
        <item t="default"/>
      </items>
    </pivotField>
    <pivotField compact="0" numFmtId="10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axis="axisRow" name="评论数区间" compact="0"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求和项:求和项:日销量" fld="1" baseField="0" baseItem="0" numFmtId="178"/>
    <dataField name="求和项:求和项:月销量" fld="2" baseField="0" baseItem="0"/>
    <dataField name="求和项:求和项:月销售额" fld="3" baseField="0" baseItem="0"/>
    <dataField name="求和项:计数项:ASIN" fld="4" baseField="0" baseItem="0"/>
  </dataFields>
  <formats count="3">
    <format dxfId="220">
      <pivotArea type="all" dataOnly="0" outline="0" fieldPosition="0"/>
    </format>
    <format dxfId="221">
      <pivotArea type="all" dataOnly="0" outline="0" fieldPosition="0"/>
    </format>
    <format dxfId="222">
      <pivotArea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6"/>
  <sheetViews>
    <sheetView tabSelected="1" zoomScale="70" zoomScaleNormal="70" workbookViewId="0">
      <selection activeCell="W34" sqref="W34"/>
    </sheetView>
  </sheetViews>
  <sheetFormatPr defaultColWidth="8.72727272727273" defaultRowHeight="14"/>
  <cols>
    <col min="15" max="15" width="17.3636363636364" customWidth="1"/>
    <col min="16" max="20" width="17.5272727272727" customWidth="1"/>
    <col min="21" max="24" width="16.7545454545455" customWidth="1"/>
  </cols>
  <sheetData>
    <row r="1" spans="1:20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spans="1:20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</row>
    <row r="3" spans="15:20">
      <c r="O3" s="22" t="s">
        <v>1</v>
      </c>
      <c r="P3" s="22" t="s">
        <v>2</v>
      </c>
      <c r="Q3" s="22" t="s">
        <v>3</v>
      </c>
      <c r="R3" s="22" t="s">
        <v>4</v>
      </c>
      <c r="S3" s="22" t="s">
        <v>5</v>
      </c>
      <c r="T3" s="25" t="s">
        <v>6</v>
      </c>
    </row>
    <row r="4" spans="15:20">
      <c r="O4" s="22" t="s">
        <v>7</v>
      </c>
      <c r="P4" s="23">
        <v>21.4666666666667</v>
      </c>
      <c r="Q4" s="22">
        <v>644</v>
      </c>
      <c r="R4" s="23">
        <v>6433.56</v>
      </c>
      <c r="S4" s="22">
        <v>1</v>
      </c>
      <c r="T4" s="26">
        <f>$R4/$R$43</f>
        <v>0.010336923359582</v>
      </c>
    </row>
    <row r="5" spans="15:20">
      <c r="O5" s="22" t="s">
        <v>8</v>
      </c>
      <c r="P5" s="23">
        <v>34.8</v>
      </c>
      <c r="Q5" s="22">
        <v>1044</v>
      </c>
      <c r="R5" s="23">
        <v>12402.72</v>
      </c>
      <c r="S5" s="22">
        <v>1</v>
      </c>
      <c r="T5" s="26">
        <f t="shared" ref="T5:T43" si="0">$R5/$R$43</f>
        <v>0.0199276863960786</v>
      </c>
    </row>
    <row r="6" spans="15:20">
      <c r="O6" s="22" t="s">
        <v>9</v>
      </c>
      <c r="P6" s="23">
        <v>71.6</v>
      </c>
      <c r="Q6" s="22">
        <v>2148</v>
      </c>
      <c r="R6" s="23">
        <v>19052.76</v>
      </c>
      <c r="S6" s="22">
        <v>1</v>
      </c>
      <c r="T6" s="26">
        <f t="shared" si="0"/>
        <v>0.0306124322938638</v>
      </c>
    </row>
    <row r="7" spans="15:20">
      <c r="O7" s="22" t="s">
        <v>10</v>
      </c>
      <c r="P7" s="23">
        <v>26.1</v>
      </c>
      <c r="Q7" s="22">
        <v>783</v>
      </c>
      <c r="R7" s="23">
        <v>7822.17</v>
      </c>
      <c r="S7" s="22">
        <v>1</v>
      </c>
      <c r="T7" s="26">
        <f t="shared" si="0"/>
        <v>0.0125680294884359</v>
      </c>
    </row>
    <row r="8" spans="15:20">
      <c r="O8" s="22" t="s">
        <v>11</v>
      </c>
      <c r="P8" s="23">
        <v>130.033333333333</v>
      </c>
      <c r="Q8" s="22">
        <v>3901</v>
      </c>
      <c r="R8" s="23">
        <v>41190.1</v>
      </c>
      <c r="S8" s="22">
        <v>2</v>
      </c>
      <c r="T8" s="26">
        <f t="shared" si="0"/>
        <v>0.0661809180101717</v>
      </c>
    </row>
    <row r="9" spans="15:20">
      <c r="O9" s="22" t="s">
        <v>12</v>
      </c>
      <c r="P9" s="23">
        <v>23</v>
      </c>
      <c r="Q9" s="22">
        <v>690</v>
      </c>
      <c r="R9" s="23">
        <v>6893.1</v>
      </c>
      <c r="S9" s="22">
        <v>1</v>
      </c>
      <c r="T9" s="26">
        <f t="shared" si="0"/>
        <v>0.0110752750281236</v>
      </c>
    </row>
    <row r="10" spans="15:20">
      <c r="O10" s="22" t="s">
        <v>13</v>
      </c>
      <c r="P10" s="23">
        <v>20.8333333333333</v>
      </c>
      <c r="Q10" s="22">
        <v>625</v>
      </c>
      <c r="R10" s="23">
        <v>13637.5</v>
      </c>
      <c r="S10" s="22">
        <v>1</v>
      </c>
      <c r="T10" s="26">
        <f t="shared" si="0"/>
        <v>0.021911630934708</v>
      </c>
    </row>
    <row r="11" spans="15:20">
      <c r="O11" s="22" t="s">
        <v>14</v>
      </c>
      <c r="P11" s="23">
        <v>243.766666666667</v>
      </c>
      <c r="Q11" s="22">
        <v>7313</v>
      </c>
      <c r="R11" s="23">
        <v>91885.79</v>
      </c>
      <c r="S11" s="22">
        <v>4</v>
      </c>
      <c r="T11" s="26">
        <f t="shared" si="0"/>
        <v>0.147634648478393</v>
      </c>
    </row>
    <row r="12" spans="15:20">
      <c r="O12" s="22" t="s">
        <v>15</v>
      </c>
      <c r="P12" s="23">
        <v>22.3</v>
      </c>
      <c r="Q12" s="22">
        <v>669</v>
      </c>
      <c r="R12" s="23">
        <v>8690.31</v>
      </c>
      <c r="S12" s="22">
        <v>1</v>
      </c>
      <c r="T12" s="26">
        <f t="shared" si="0"/>
        <v>0.0139628865575217</v>
      </c>
    </row>
    <row r="13" spans="15:20">
      <c r="O13" s="22" t="s">
        <v>16</v>
      </c>
      <c r="P13" s="23">
        <v>19.1333333333333</v>
      </c>
      <c r="Q13" s="22">
        <v>574</v>
      </c>
      <c r="R13" s="23">
        <v>3438.26</v>
      </c>
      <c r="S13" s="22">
        <v>1</v>
      </c>
      <c r="T13" s="26">
        <f t="shared" si="0"/>
        <v>0.00552431781320397</v>
      </c>
    </row>
    <row r="14" spans="15:20">
      <c r="O14" s="22" t="s">
        <v>17</v>
      </c>
      <c r="P14" s="23">
        <v>29.4666666666667</v>
      </c>
      <c r="Q14" s="22">
        <v>884</v>
      </c>
      <c r="R14" s="23">
        <v>7947.16</v>
      </c>
      <c r="S14" s="22">
        <v>1</v>
      </c>
      <c r="T14" s="26">
        <f t="shared" si="0"/>
        <v>0.0127688533014903</v>
      </c>
    </row>
    <row r="15" spans="15:20">
      <c r="O15" s="22" t="s">
        <v>18</v>
      </c>
      <c r="P15" s="23">
        <v>46.3666666666667</v>
      </c>
      <c r="Q15" s="22">
        <v>1391</v>
      </c>
      <c r="R15" s="23">
        <v>7569.84</v>
      </c>
      <c r="S15" s="22">
        <v>2</v>
      </c>
      <c r="T15" s="26">
        <f t="shared" si="0"/>
        <v>0.0121626060725786</v>
      </c>
    </row>
    <row r="16" spans="15:20">
      <c r="O16" s="22" t="s">
        <v>19</v>
      </c>
      <c r="P16" s="23">
        <v>114.066666666667</v>
      </c>
      <c r="Q16" s="22">
        <v>3422</v>
      </c>
      <c r="R16" s="23">
        <v>37760.69</v>
      </c>
      <c r="S16" s="22">
        <v>2</v>
      </c>
      <c r="T16" s="26">
        <f t="shared" si="0"/>
        <v>0.060670819660489</v>
      </c>
    </row>
    <row r="17" spans="15:20">
      <c r="O17" s="22" t="s">
        <v>20</v>
      </c>
      <c r="P17" s="23">
        <v>72.8</v>
      </c>
      <c r="Q17" s="22">
        <v>2184</v>
      </c>
      <c r="R17" s="23">
        <v>21818.16</v>
      </c>
      <c r="S17" s="22">
        <v>1</v>
      </c>
      <c r="T17" s="26">
        <f t="shared" si="0"/>
        <v>0.0350556531324956</v>
      </c>
    </row>
    <row r="18" spans="15:20">
      <c r="O18" s="22" t="s">
        <v>21</v>
      </c>
      <c r="P18" s="23">
        <v>31.3666666666667</v>
      </c>
      <c r="Q18" s="22">
        <v>941</v>
      </c>
      <c r="R18" s="23">
        <v>6577.59</v>
      </c>
      <c r="S18" s="22">
        <v>1</v>
      </c>
      <c r="T18" s="26">
        <f t="shared" si="0"/>
        <v>0.0105683391031953</v>
      </c>
    </row>
    <row r="19" spans="15:20">
      <c r="O19" s="22" t="s">
        <v>22</v>
      </c>
      <c r="P19" s="23">
        <v>49.7666666666667</v>
      </c>
      <c r="Q19" s="22">
        <v>1493</v>
      </c>
      <c r="R19" s="23">
        <v>26859.07</v>
      </c>
      <c r="S19" s="22">
        <v>1</v>
      </c>
      <c r="T19" s="26">
        <f t="shared" si="0"/>
        <v>0.0431549792182942</v>
      </c>
    </row>
    <row r="20" spans="15:20">
      <c r="O20" s="22" t="s">
        <v>23</v>
      </c>
      <c r="P20" s="23">
        <v>48.6</v>
      </c>
      <c r="Q20" s="22">
        <v>1458</v>
      </c>
      <c r="R20" s="23">
        <v>6356.88</v>
      </c>
      <c r="S20" s="22">
        <v>1</v>
      </c>
      <c r="T20" s="26">
        <f t="shared" si="0"/>
        <v>0.0102137201434447</v>
      </c>
    </row>
    <row r="21" spans="15:20">
      <c r="O21" s="22" t="s">
        <v>24</v>
      </c>
      <c r="P21" s="23">
        <v>45.9333333333333</v>
      </c>
      <c r="Q21" s="22">
        <v>1378</v>
      </c>
      <c r="R21" s="23">
        <v>8405.8</v>
      </c>
      <c r="S21" s="22">
        <v>1</v>
      </c>
      <c r="T21" s="26">
        <f t="shared" si="0"/>
        <v>0.0135057589228941</v>
      </c>
    </row>
    <row r="22" spans="15:20">
      <c r="O22" s="22" t="s">
        <v>25</v>
      </c>
      <c r="P22" s="23">
        <v>21.8666666666667</v>
      </c>
      <c r="Q22" s="22">
        <v>656</v>
      </c>
      <c r="R22" s="23">
        <v>5897.44</v>
      </c>
      <c r="S22" s="22">
        <v>1</v>
      </c>
      <c r="T22" s="26">
        <f t="shared" si="0"/>
        <v>0.00947552914680728</v>
      </c>
    </row>
    <row r="23" spans="15:20">
      <c r="O23" s="22" t="s">
        <v>26</v>
      </c>
      <c r="P23" s="23">
        <v>34.8333333333333</v>
      </c>
      <c r="Q23" s="22">
        <v>1045</v>
      </c>
      <c r="R23" s="23">
        <v>7304.55</v>
      </c>
      <c r="S23" s="22">
        <v>1</v>
      </c>
      <c r="T23" s="26">
        <f t="shared" si="0"/>
        <v>0.0117363595779374</v>
      </c>
    </row>
    <row r="24" spans="15:20">
      <c r="O24" s="22" t="s">
        <v>27</v>
      </c>
      <c r="P24" s="23">
        <v>23.0333333333333</v>
      </c>
      <c r="Q24" s="22">
        <v>691</v>
      </c>
      <c r="R24" s="23">
        <v>11049.09</v>
      </c>
      <c r="S24" s="22">
        <v>1</v>
      </c>
      <c r="T24" s="26">
        <f t="shared" si="0"/>
        <v>0.0177527832993124</v>
      </c>
    </row>
    <row r="25" spans="15:20">
      <c r="O25" s="22" t="s">
        <v>28</v>
      </c>
      <c r="P25" s="23">
        <v>78.8666666666667</v>
      </c>
      <c r="Q25" s="22">
        <v>2366</v>
      </c>
      <c r="R25" s="23">
        <v>11806.34</v>
      </c>
      <c r="S25" s="22">
        <v>1</v>
      </c>
      <c r="T25" s="26">
        <f t="shared" si="0"/>
        <v>0.0189694712938354</v>
      </c>
    </row>
    <row r="26" spans="15:20">
      <c r="O26" s="22" t="s">
        <v>29</v>
      </c>
      <c r="P26" s="23">
        <v>27.8</v>
      </c>
      <c r="Q26" s="22">
        <v>834</v>
      </c>
      <c r="R26" s="23">
        <v>9457.56</v>
      </c>
      <c r="S26" s="22">
        <v>1</v>
      </c>
      <c r="T26" s="26">
        <f t="shared" si="0"/>
        <v>0.0151956417424643</v>
      </c>
    </row>
    <row r="27" spans="15:20">
      <c r="O27" s="22" t="s">
        <v>30</v>
      </c>
      <c r="P27" s="23">
        <v>43.9</v>
      </c>
      <c r="Q27" s="22">
        <v>1317</v>
      </c>
      <c r="R27" s="23">
        <v>10455.83</v>
      </c>
      <c r="S27" s="22">
        <v>2</v>
      </c>
      <c r="T27" s="26">
        <f t="shared" si="0"/>
        <v>0.0167995811604801</v>
      </c>
    </row>
    <row r="28" spans="15:20">
      <c r="O28" s="22" t="s">
        <v>31</v>
      </c>
      <c r="P28" s="23">
        <v>30</v>
      </c>
      <c r="Q28" s="22">
        <v>900</v>
      </c>
      <c r="R28" s="23">
        <v>7191</v>
      </c>
      <c r="S28" s="22">
        <v>1</v>
      </c>
      <c r="T28" s="26">
        <f t="shared" si="0"/>
        <v>0.011553916630723</v>
      </c>
    </row>
    <row r="29" spans="15:20">
      <c r="O29" s="22" t="s">
        <v>32</v>
      </c>
      <c r="P29" s="23">
        <v>28.1333333333333</v>
      </c>
      <c r="Q29" s="22">
        <v>844</v>
      </c>
      <c r="R29" s="23">
        <v>5055.56</v>
      </c>
      <c r="S29" s="22">
        <v>1</v>
      </c>
      <c r="T29" s="26">
        <f t="shared" si="0"/>
        <v>0.00812286451976333</v>
      </c>
    </row>
    <row r="30" spans="15:20">
      <c r="O30" s="22" t="s">
        <v>33</v>
      </c>
      <c r="P30" s="23">
        <v>53.8</v>
      </c>
      <c r="Q30" s="22">
        <v>1614</v>
      </c>
      <c r="R30" s="23">
        <v>14509.86</v>
      </c>
      <c r="S30" s="22">
        <v>1</v>
      </c>
      <c r="T30" s="26">
        <f t="shared" si="0"/>
        <v>0.0233132683581509</v>
      </c>
    </row>
    <row r="31" spans="15:20">
      <c r="O31" s="22" t="s">
        <v>34</v>
      </c>
      <c r="P31" s="23">
        <v>379.1</v>
      </c>
      <c r="Q31" s="22">
        <v>11373</v>
      </c>
      <c r="R31" s="23">
        <v>68124.27</v>
      </c>
      <c r="S31" s="22">
        <v>1</v>
      </c>
      <c r="T31" s="26">
        <f t="shared" si="0"/>
        <v>0.109456561828517</v>
      </c>
    </row>
    <row r="32" spans="15:20">
      <c r="O32" s="22" t="s">
        <v>35</v>
      </c>
      <c r="P32" s="23">
        <v>26.9333333333333</v>
      </c>
      <c r="Q32" s="22">
        <v>808</v>
      </c>
      <c r="R32" s="23">
        <v>7263.92</v>
      </c>
      <c r="S32" s="22">
        <v>1</v>
      </c>
      <c r="T32" s="26">
        <f t="shared" si="0"/>
        <v>0.0116710785832626</v>
      </c>
    </row>
    <row r="33" spans="15:20">
      <c r="O33" s="22" t="s">
        <v>36</v>
      </c>
      <c r="P33" s="23">
        <v>30.9666666666667</v>
      </c>
      <c r="Q33" s="22">
        <v>929</v>
      </c>
      <c r="R33" s="23">
        <v>5564.71</v>
      </c>
      <c r="S33" s="22">
        <v>1</v>
      </c>
      <c r="T33" s="26">
        <f t="shared" si="0"/>
        <v>0.00894092551997646</v>
      </c>
    </row>
    <row r="34" spans="15:20">
      <c r="O34" s="22" t="s">
        <v>37</v>
      </c>
      <c r="P34" s="23">
        <v>28.3</v>
      </c>
      <c r="Q34" s="22">
        <v>849</v>
      </c>
      <c r="R34" s="23">
        <v>6783.51</v>
      </c>
      <c r="S34" s="22">
        <v>1</v>
      </c>
      <c r="T34" s="26">
        <f t="shared" si="0"/>
        <v>0.0108991946883154</v>
      </c>
    </row>
    <row r="35" spans="15:20">
      <c r="O35" s="22" t="s">
        <v>38</v>
      </c>
      <c r="P35" s="23">
        <v>24.3333333333333</v>
      </c>
      <c r="Q35" s="22">
        <v>730</v>
      </c>
      <c r="R35" s="23">
        <v>7292.7</v>
      </c>
      <c r="S35" s="22">
        <v>1</v>
      </c>
      <c r="T35" s="26">
        <f t="shared" si="0"/>
        <v>0.0117173199572902</v>
      </c>
    </row>
    <row r="36" spans="15:20">
      <c r="O36" s="22" t="s">
        <v>39</v>
      </c>
      <c r="P36" s="23">
        <v>78.7</v>
      </c>
      <c r="Q36" s="22">
        <v>2361</v>
      </c>
      <c r="R36" s="23">
        <v>11781.39</v>
      </c>
      <c r="S36" s="22">
        <v>1</v>
      </c>
      <c r="T36" s="26">
        <f t="shared" si="0"/>
        <v>0.0189293836537386</v>
      </c>
    </row>
    <row r="37" spans="15:20">
      <c r="O37" s="22" t="s">
        <v>40</v>
      </c>
      <c r="P37" s="23">
        <v>81.2</v>
      </c>
      <c r="Q37" s="22">
        <v>2436</v>
      </c>
      <c r="R37" s="23">
        <v>12155.64</v>
      </c>
      <c r="S37" s="22">
        <v>1</v>
      </c>
      <c r="T37" s="26">
        <f t="shared" si="0"/>
        <v>0.0195306982551915</v>
      </c>
    </row>
    <row r="38" spans="15:20">
      <c r="O38" s="22" t="s">
        <v>41</v>
      </c>
      <c r="P38" s="23">
        <v>69.5</v>
      </c>
      <c r="Q38" s="22">
        <v>2085</v>
      </c>
      <c r="R38" s="23">
        <v>20829.15</v>
      </c>
      <c r="S38" s="22">
        <v>1</v>
      </c>
      <c r="T38" s="26">
        <f t="shared" si="0"/>
        <v>0.0334665919328083</v>
      </c>
    </row>
    <row r="39" spans="15:20">
      <c r="O39" s="22" t="s">
        <v>42</v>
      </c>
      <c r="P39" s="23">
        <v>31.6333333333333</v>
      </c>
      <c r="Q39" s="22">
        <v>949</v>
      </c>
      <c r="R39" s="23">
        <v>9936.03</v>
      </c>
      <c r="S39" s="22">
        <v>1</v>
      </c>
      <c r="T39" s="26">
        <f t="shared" si="0"/>
        <v>0.0159644086024702</v>
      </c>
    </row>
    <row r="40" spans="15:20">
      <c r="O40" s="22" t="s">
        <v>43</v>
      </c>
      <c r="P40" s="23">
        <v>76.9</v>
      </c>
      <c r="Q40" s="22">
        <v>2307</v>
      </c>
      <c r="R40" s="23">
        <v>34122.93</v>
      </c>
      <c r="S40" s="22">
        <v>2</v>
      </c>
      <c r="T40" s="26">
        <f t="shared" si="0"/>
        <v>0.0548259613984143</v>
      </c>
    </row>
    <row r="41" spans="15:20">
      <c r="O41" s="22" t="s">
        <v>44</v>
      </c>
      <c r="P41" s="23">
        <v>56.3</v>
      </c>
      <c r="Q41" s="22">
        <v>1689</v>
      </c>
      <c r="R41" s="23">
        <v>10117.11</v>
      </c>
      <c r="S41" s="22">
        <v>1</v>
      </c>
      <c r="T41" s="26">
        <f t="shared" si="0"/>
        <v>0.016255353286588</v>
      </c>
    </row>
    <row r="42" spans="15:20">
      <c r="O42" s="22" t="s">
        <v>45</v>
      </c>
      <c r="P42" s="23">
        <v>72.0666666666666</v>
      </c>
      <c r="Q42" s="22">
        <v>2162</v>
      </c>
      <c r="R42" s="23">
        <v>10946.3</v>
      </c>
      <c r="S42" s="22">
        <v>2</v>
      </c>
      <c r="T42" s="26">
        <f t="shared" si="0"/>
        <v>0.0175876286489895</v>
      </c>
    </row>
    <row r="43" spans="15:20">
      <c r="O43" s="22" t="s">
        <v>46</v>
      </c>
      <c r="P43" s="23">
        <v>2349.56666666667</v>
      </c>
      <c r="Q43" s="22">
        <v>70487</v>
      </c>
      <c r="R43" s="23">
        <v>622386.35</v>
      </c>
      <c r="S43" s="22">
        <v>48</v>
      </c>
      <c r="T43" s="26"/>
    </row>
    <row r="45" spans="15:20">
      <c r="O45" s="24"/>
      <c r="P45" s="24"/>
      <c r="Q45" s="24"/>
      <c r="R45" s="24"/>
      <c r="S45" s="24"/>
      <c r="T45" s="24"/>
    </row>
    <row r="46" spans="15:20">
      <c r="O46" s="22" t="s">
        <v>47</v>
      </c>
      <c r="P46" s="22" t="s">
        <v>2</v>
      </c>
      <c r="Q46" s="22" t="s">
        <v>3</v>
      </c>
      <c r="R46" s="22" t="s">
        <v>4</v>
      </c>
      <c r="S46" s="22" t="s">
        <v>5</v>
      </c>
      <c r="T46" s="27" t="s">
        <v>6</v>
      </c>
    </row>
    <row r="47" spans="15:20">
      <c r="O47" s="22" t="s">
        <v>48</v>
      </c>
      <c r="P47" s="23">
        <v>1054.63333333333</v>
      </c>
      <c r="Q47" s="22">
        <v>31639</v>
      </c>
      <c r="R47" s="23">
        <v>180041.32</v>
      </c>
      <c r="S47" s="22">
        <v>17</v>
      </c>
      <c r="T47" s="26">
        <f>$R47/$R$53</f>
        <v>0.28927581718333</v>
      </c>
    </row>
    <row r="48" spans="15:20">
      <c r="O48" s="22" t="s">
        <v>49</v>
      </c>
      <c r="P48" s="23">
        <v>705</v>
      </c>
      <c r="Q48" s="22">
        <v>21150</v>
      </c>
      <c r="R48" s="23">
        <v>192825.13</v>
      </c>
      <c r="S48" s="22">
        <v>17</v>
      </c>
      <c r="T48" s="26">
        <f t="shared" ref="T48:T53" si="1">$R48/$R$53</f>
        <v>0.309815808139108</v>
      </c>
    </row>
    <row r="49" spans="15:20">
      <c r="O49" s="22" t="s">
        <v>50</v>
      </c>
      <c r="P49" s="23">
        <v>312.533333333333</v>
      </c>
      <c r="Q49" s="22">
        <v>9376</v>
      </c>
      <c r="R49" s="23">
        <v>112195.37</v>
      </c>
      <c r="S49" s="22">
        <v>7</v>
      </c>
      <c r="T49" s="26">
        <f t="shared" si="1"/>
        <v>0.180266437398571</v>
      </c>
    </row>
    <row r="50" spans="15:20">
      <c r="O50" s="22" t="s">
        <v>51</v>
      </c>
      <c r="P50" s="23">
        <v>131.2</v>
      </c>
      <c r="Q50" s="22">
        <v>3936</v>
      </c>
      <c r="R50" s="23">
        <v>58294.64</v>
      </c>
      <c r="S50" s="22">
        <v>4</v>
      </c>
      <c r="T50" s="26">
        <f t="shared" si="1"/>
        <v>0.0936631081321112</v>
      </c>
    </row>
    <row r="51" spans="15:20">
      <c r="O51" s="22" t="s">
        <v>52</v>
      </c>
      <c r="P51" s="23">
        <v>125.366666666667</v>
      </c>
      <c r="Q51" s="22">
        <v>3761</v>
      </c>
      <c r="R51" s="23">
        <v>65392.39</v>
      </c>
      <c r="S51" s="22">
        <v>2</v>
      </c>
      <c r="T51" s="26">
        <f t="shared" si="1"/>
        <v>0.105067198212172</v>
      </c>
    </row>
    <row r="52" spans="15:20">
      <c r="O52" s="22" t="s">
        <v>53</v>
      </c>
      <c r="P52" s="23">
        <v>20.8333333333333</v>
      </c>
      <c r="Q52" s="22">
        <v>625</v>
      </c>
      <c r="R52" s="23">
        <v>13637.5</v>
      </c>
      <c r="S52" s="22">
        <v>1</v>
      </c>
      <c r="T52" s="26">
        <f t="shared" si="1"/>
        <v>0.021911630934708</v>
      </c>
    </row>
    <row r="53" spans="15:20">
      <c r="O53" s="22" t="s">
        <v>46</v>
      </c>
      <c r="P53" s="23">
        <v>2349.56666666667</v>
      </c>
      <c r="Q53" s="22">
        <v>70487</v>
      </c>
      <c r="R53" s="23">
        <v>622386.35</v>
      </c>
      <c r="S53" s="22">
        <v>48</v>
      </c>
      <c r="T53" s="22"/>
    </row>
    <row r="56" spans="15:20">
      <c r="O56" s="22" t="s">
        <v>54</v>
      </c>
      <c r="P56" s="22" t="s">
        <v>2</v>
      </c>
      <c r="Q56" s="22" t="s">
        <v>3</v>
      </c>
      <c r="R56" s="22" t="s">
        <v>4</v>
      </c>
      <c r="S56" s="22" t="s">
        <v>5</v>
      </c>
      <c r="T56" s="27" t="s">
        <v>6</v>
      </c>
    </row>
    <row r="57" spans="15:20">
      <c r="O57" s="22" t="s">
        <v>55</v>
      </c>
      <c r="P57" s="23">
        <v>52.2333333333333</v>
      </c>
      <c r="Q57" s="22">
        <v>1567</v>
      </c>
      <c r="R57" s="22">
        <v>13664.24</v>
      </c>
      <c r="S57" s="22">
        <v>1</v>
      </c>
      <c r="T57" s="26">
        <f>$R57/$R$60</f>
        <v>0.02195459460189</v>
      </c>
    </row>
    <row r="58" spans="15:20">
      <c r="O58" s="22" t="s">
        <v>56</v>
      </c>
      <c r="P58" s="23">
        <v>674.733333333333</v>
      </c>
      <c r="Q58" s="22">
        <v>20242</v>
      </c>
      <c r="R58" s="22">
        <v>173794.39</v>
      </c>
      <c r="S58" s="22">
        <v>9</v>
      </c>
      <c r="T58" s="26">
        <f>$R58/$R$60</f>
        <v>0.279238755798549</v>
      </c>
    </row>
    <row r="59" spans="15:20">
      <c r="O59" s="22" t="s">
        <v>57</v>
      </c>
      <c r="P59" s="23">
        <v>1622.6</v>
      </c>
      <c r="Q59" s="22">
        <v>48678</v>
      </c>
      <c r="R59" s="22">
        <v>434927.72</v>
      </c>
      <c r="S59" s="22">
        <v>38</v>
      </c>
      <c r="T59" s="26">
        <f>$R59/$R$60</f>
        <v>0.698806649599561</v>
      </c>
    </row>
    <row r="60" spans="15:20">
      <c r="O60" s="22" t="s">
        <v>46</v>
      </c>
      <c r="P60" s="23">
        <v>2349.56666666667</v>
      </c>
      <c r="Q60" s="22">
        <v>70487</v>
      </c>
      <c r="R60" s="22">
        <v>622386.35</v>
      </c>
      <c r="S60" s="22">
        <v>48</v>
      </c>
      <c r="T60" s="22"/>
    </row>
    <row r="63" spans="15:20">
      <c r="O63" s="22" t="s">
        <v>58</v>
      </c>
      <c r="P63" s="22" t="s">
        <v>59</v>
      </c>
      <c r="Q63" s="22" t="s">
        <v>60</v>
      </c>
      <c r="R63" s="22" t="s">
        <v>61</v>
      </c>
      <c r="S63" s="22" t="s">
        <v>62</v>
      </c>
      <c r="T63" s="27" t="s">
        <v>6</v>
      </c>
    </row>
    <row r="64" spans="15:20">
      <c r="O64" s="22" t="s">
        <v>63</v>
      </c>
      <c r="P64" s="23">
        <v>236.566666666667</v>
      </c>
      <c r="Q64" s="22">
        <v>7097</v>
      </c>
      <c r="R64" s="22">
        <v>55200.93</v>
      </c>
      <c r="S64" s="22">
        <v>7</v>
      </c>
      <c r="T64" s="26">
        <f>$R64/$R$69</f>
        <v>0.088692385364814</v>
      </c>
    </row>
    <row r="65" spans="15:20">
      <c r="O65" s="22" t="s">
        <v>64</v>
      </c>
      <c r="P65" s="23">
        <v>973.633333333333</v>
      </c>
      <c r="Q65" s="22">
        <v>29209</v>
      </c>
      <c r="R65" s="22">
        <v>250467.99</v>
      </c>
      <c r="S65" s="22">
        <v>16</v>
      </c>
      <c r="T65" s="26">
        <f>$R65/$R$69</f>
        <v>0.402431688934052</v>
      </c>
    </row>
    <row r="66" spans="15:20">
      <c r="O66" s="22" t="s">
        <v>65</v>
      </c>
      <c r="P66" s="23">
        <v>488.7</v>
      </c>
      <c r="Q66" s="22">
        <v>14661</v>
      </c>
      <c r="R66" s="22">
        <v>153660.34</v>
      </c>
      <c r="S66" s="22">
        <v>13</v>
      </c>
      <c r="T66" s="26">
        <f>$R66/$R$69</f>
        <v>0.246888994271806</v>
      </c>
    </row>
    <row r="67" spans="15:20">
      <c r="O67" s="22" t="s">
        <v>66</v>
      </c>
      <c r="P67" s="23">
        <v>360.333333333333</v>
      </c>
      <c r="Q67" s="22">
        <v>10810</v>
      </c>
      <c r="R67" s="22">
        <v>98815.88</v>
      </c>
      <c r="S67" s="22">
        <v>7</v>
      </c>
      <c r="T67" s="26">
        <f>$R67/$R$69</f>
        <v>0.158769356043879</v>
      </c>
    </row>
    <row r="68" spans="15:20">
      <c r="O68" s="22" t="s">
        <v>67</v>
      </c>
      <c r="P68" s="23">
        <v>290.333333333333</v>
      </c>
      <c r="Q68" s="22">
        <v>8710</v>
      </c>
      <c r="R68" s="22">
        <v>64241.21</v>
      </c>
      <c r="S68" s="22">
        <v>5</v>
      </c>
      <c r="T68" s="26">
        <f>$R68/$R$69</f>
        <v>0.10321757538545</v>
      </c>
    </row>
    <row r="69" spans="15:20">
      <c r="O69" s="22" t="s">
        <v>46</v>
      </c>
      <c r="P69" s="23">
        <v>2349.56666666667</v>
      </c>
      <c r="Q69" s="22">
        <v>70487</v>
      </c>
      <c r="R69" s="22">
        <v>622386.35</v>
      </c>
      <c r="S69" s="22">
        <v>48</v>
      </c>
      <c r="T69" s="26"/>
    </row>
    <row r="73" ht="16.5" spans="15:24">
      <c r="O73" s="28" t="s">
        <v>68</v>
      </c>
      <c r="P73" s="28"/>
      <c r="Q73" s="31" t="s">
        <v>69</v>
      </c>
      <c r="R73" s="31"/>
      <c r="S73" s="31" t="s">
        <v>70</v>
      </c>
      <c r="T73" s="31"/>
      <c r="U73" s="28" t="s">
        <v>71</v>
      </c>
      <c r="V73" s="28"/>
      <c r="W73" s="28" t="s">
        <v>72</v>
      </c>
      <c r="X73" s="28"/>
    </row>
    <row r="74" ht="147" customHeight="1" spans="15:24">
      <c r="O74" s="29" t="s">
        <v>73</v>
      </c>
      <c r="P74" s="29"/>
      <c r="Q74" s="29" t="s">
        <v>74</v>
      </c>
      <c r="R74" s="29"/>
      <c r="S74" s="32" t="s">
        <v>75</v>
      </c>
      <c r="T74" s="32"/>
      <c r="U74" s="32" t="s">
        <v>76</v>
      </c>
      <c r="V74" s="32"/>
      <c r="W74" s="32" t="s">
        <v>77</v>
      </c>
      <c r="X74" s="32"/>
    </row>
    <row r="75" ht="147" customHeight="1" spans="15:24">
      <c r="O75" s="29" t="s">
        <v>78</v>
      </c>
      <c r="P75" s="29"/>
      <c r="Q75" s="32" t="s">
        <v>79</v>
      </c>
      <c r="R75" s="32"/>
      <c r="S75" s="32" t="s">
        <v>80</v>
      </c>
      <c r="T75" s="32"/>
      <c r="U75" s="32" t="s">
        <v>81</v>
      </c>
      <c r="V75" s="32"/>
      <c r="W75" s="32" t="s">
        <v>82</v>
      </c>
      <c r="X75" s="32"/>
    </row>
    <row r="76" ht="147" customHeight="1" spans="15:24">
      <c r="O76" s="30" t="s">
        <v>83</v>
      </c>
      <c r="P76" s="30"/>
      <c r="Q76" s="33" t="s">
        <v>84</v>
      </c>
      <c r="R76" s="33"/>
      <c r="S76" s="34"/>
      <c r="T76" s="34"/>
      <c r="U76" s="32" t="s">
        <v>85</v>
      </c>
      <c r="V76" s="35"/>
      <c r="W76" s="32" t="s">
        <v>86</v>
      </c>
      <c r="X76" s="36"/>
    </row>
  </sheetData>
  <mergeCells count="21">
    <mergeCell ref="O73:P73"/>
    <mergeCell ref="Q73:R73"/>
    <mergeCell ref="S73:T73"/>
    <mergeCell ref="U73:V73"/>
    <mergeCell ref="W73:X73"/>
    <mergeCell ref="O74:P74"/>
    <mergeCell ref="Q74:R74"/>
    <mergeCell ref="S74:T74"/>
    <mergeCell ref="U74:V74"/>
    <mergeCell ref="W74:X74"/>
    <mergeCell ref="O75:P75"/>
    <mergeCell ref="Q75:R75"/>
    <mergeCell ref="S75:T75"/>
    <mergeCell ref="U75:V75"/>
    <mergeCell ref="W75:X75"/>
    <mergeCell ref="O76:P76"/>
    <mergeCell ref="Q76:R76"/>
    <mergeCell ref="S76:T76"/>
    <mergeCell ref="U76:V76"/>
    <mergeCell ref="W76:X76"/>
    <mergeCell ref="A1:T2"/>
  </mergeCells>
  <pageMargins left="0.75" right="0.75" top="1" bottom="1" header="0.5" footer="0.5"/>
  <headerFooter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2"/>
  <sheetViews>
    <sheetView zoomScale="80" zoomScaleNormal="80" workbookViewId="0">
      <selection activeCell="S21" sqref="S21"/>
    </sheetView>
  </sheetViews>
  <sheetFormatPr defaultColWidth="9" defaultRowHeight="16.5"/>
  <cols>
    <col min="1" max="1" width="9" style="5"/>
    <col min="2" max="2" width="9.90909090909091" style="5"/>
    <col min="3" max="3" width="14.1272727272727" style="5" customWidth="1"/>
    <col min="4" max="4" width="22.6272727272727" style="5" customWidth="1"/>
    <col min="5" max="5" width="19" style="5" customWidth="1"/>
    <col min="6" max="6" width="17.1272727272727" style="6" customWidth="1"/>
    <col min="7" max="7" width="9" style="6"/>
    <col min="8" max="8" width="15.2727272727273" style="5"/>
    <col min="9" max="9" width="9" style="5"/>
    <col min="10" max="10" width="12.7545454545455" style="7"/>
    <col min="11" max="12" width="9" style="6"/>
    <col min="13" max="13" width="15.3636363636364" style="6" customWidth="1"/>
    <col min="14" max="14" width="9" style="6"/>
    <col min="15" max="16384" width="9" style="5"/>
  </cols>
  <sheetData>
    <row r="1" s="1" customFormat="1" ht="38.1" customHeight="1" spans="1:24">
      <c r="A1" s="8" t="s">
        <v>87</v>
      </c>
      <c r="F1" s="9"/>
      <c r="G1" s="9"/>
      <c r="J1" s="16"/>
      <c r="K1" s="9"/>
      <c r="L1" s="9"/>
      <c r="M1" s="9"/>
      <c r="N1" s="9"/>
      <c r="P1" s="9"/>
      <c r="Q1" s="9"/>
      <c r="R1" s="9"/>
      <c r="S1" s="9"/>
      <c r="T1" s="9"/>
      <c r="U1" s="9"/>
      <c r="V1" s="9"/>
      <c r="W1" s="9"/>
      <c r="X1" s="9"/>
    </row>
    <row r="2" s="2" customFormat="1" spans="1:24">
      <c r="A2" s="10" t="s">
        <v>88</v>
      </c>
      <c r="B2" s="10" t="s">
        <v>89</v>
      </c>
      <c r="C2" s="10" t="s">
        <v>90</v>
      </c>
      <c r="D2" s="10" t="s">
        <v>91</v>
      </c>
      <c r="E2" s="10" t="s">
        <v>1</v>
      </c>
      <c r="F2" s="10" t="s">
        <v>92</v>
      </c>
      <c r="G2" s="10" t="s">
        <v>93</v>
      </c>
      <c r="H2" s="10" t="s">
        <v>94</v>
      </c>
      <c r="I2" s="10" t="s">
        <v>47</v>
      </c>
      <c r="J2" s="17" t="s">
        <v>95</v>
      </c>
      <c r="K2" s="10" t="s">
        <v>96</v>
      </c>
      <c r="L2" s="10" t="s">
        <v>54</v>
      </c>
      <c r="M2" s="10" t="s">
        <v>97</v>
      </c>
      <c r="N2" s="10" t="s">
        <v>98</v>
      </c>
      <c r="O2" s="10" t="s">
        <v>99</v>
      </c>
      <c r="P2" s="9"/>
      <c r="Q2" s="9"/>
      <c r="R2" s="9"/>
      <c r="S2" s="9"/>
      <c r="T2" s="9"/>
      <c r="U2" s="9"/>
      <c r="V2" s="9"/>
      <c r="W2" s="9"/>
      <c r="X2" s="9"/>
    </row>
    <row r="3" spans="1:15">
      <c r="A3" s="11">
        <v>1</v>
      </c>
      <c r="B3" s="12">
        <v>2696</v>
      </c>
      <c r="C3" s="11" t="s">
        <v>100</v>
      </c>
      <c r="D3" s="11" t="s">
        <v>101</v>
      </c>
      <c r="E3" s="11" t="s">
        <v>34</v>
      </c>
      <c r="F3" s="11" t="s">
        <v>102</v>
      </c>
      <c r="G3" s="11">
        <v>11373</v>
      </c>
      <c r="H3" s="13">
        <f>$G3/30</f>
        <v>379.1</v>
      </c>
      <c r="I3" s="18">
        <v>5.99</v>
      </c>
      <c r="J3" s="19">
        <f>$G3*$I3</f>
        <v>68124.27</v>
      </c>
      <c r="K3" s="12">
        <v>489</v>
      </c>
      <c r="L3" s="11">
        <v>4.3</v>
      </c>
      <c r="M3" s="11" t="s">
        <v>103</v>
      </c>
      <c r="N3" s="12">
        <f ca="1">TODAY()-$M3</f>
        <v>543</v>
      </c>
      <c r="O3" s="11" t="s">
        <v>104</v>
      </c>
    </row>
    <row r="4" spans="1:15">
      <c r="A4" s="11">
        <v>2</v>
      </c>
      <c r="B4" s="12">
        <v>6674</v>
      </c>
      <c r="C4" s="11" t="s">
        <v>105</v>
      </c>
      <c r="D4" s="11" t="s">
        <v>106</v>
      </c>
      <c r="E4" s="11" t="s">
        <v>14</v>
      </c>
      <c r="F4" s="11" t="s">
        <v>102</v>
      </c>
      <c r="G4" s="11">
        <v>2589</v>
      </c>
      <c r="H4" s="13">
        <f t="shared" ref="H4:H50" si="0">$G4/30</f>
        <v>86.3</v>
      </c>
      <c r="I4" s="18">
        <v>8.11</v>
      </c>
      <c r="J4" s="19">
        <f t="shared" ref="J4:J50" si="1">$G4*$I4</f>
        <v>20996.79</v>
      </c>
      <c r="K4" s="12">
        <v>402</v>
      </c>
      <c r="L4" s="11">
        <v>4.6</v>
      </c>
      <c r="M4" s="11" t="s">
        <v>107</v>
      </c>
      <c r="N4" s="12">
        <f ca="1" t="shared" ref="N4:N50" si="2">TODAY()-$M4</f>
        <v>1220</v>
      </c>
      <c r="O4" s="11" t="s">
        <v>104</v>
      </c>
    </row>
    <row r="5" spans="1:15">
      <c r="A5" s="11">
        <v>3</v>
      </c>
      <c r="B5" s="12">
        <v>2577</v>
      </c>
      <c r="C5" s="11" t="s">
        <v>108</v>
      </c>
      <c r="D5" s="11" t="s">
        <v>109</v>
      </c>
      <c r="E5" s="11" t="s">
        <v>11</v>
      </c>
      <c r="F5" s="11" t="s">
        <v>102</v>
      </c>
      <c r="G5" s="11">
        <v>2507</v>
      </c>
      <c r="H5" s="13">
        <f t="shared" si="0"/>
        <v>83.5666666666667</v>
      </c>
      <c r="I5" s="18">
        <v>11.32</v>
      </c>
      <c r="J5" s="19">
        <f t="shared" si="1"/>
        <v>28379.24</v>
      </c>
      <c r="K5" s="12">
        <v>2049</v>
      </c>
      <c r="L5" s="11">
        <v>4.8</v>
      </c>
      <c r="M5" s="11" t="s">
        <v>110</v>
      </c>
      <c r="N5" s="12">
        <f ca="1" t="shared" si="2"/>
        <v>1100</v>
      </c>
      <c r="O5" s="11" t="s">
        <v>111</v>
      </c>
    </row>
    <row r="6" spans="1:15">
      <c r="A6" s="11">
        <v>4</v>
      </c>
      <c r="B6" s="12">
        <v>8047</v>
      </c>
      <c r="C6" s="11" t="s">
        <v>112</v>
      </c>
      <c r="D6" s="11" t="s">
        <v>113</v>
      </c>
      <c r="E6" s="11" t="s">
        <v>40</v>
      </c>
      <c r="F6" s="11" t="s">
        <v>102</v>
      </c>
      <c r="G6" s="11">
        <v>2436</v>
      </c>
      <c r="H6" s="13">
        <f t="shared" si="0"/>
        <v>81.2</v>
      </c>
      <c r="I6" s="18">
        <v>4.99</v>
      </c>
      <c r="J6" s="19">
        <f t="shared" si="1"/>
        <v>12155.64</v>
      </c>
      <c r="K6" s="12">
        <v>1980</v>
      </c>
      <c r="L6" s="11">
        <v>4.6</v>
      </c>
      <c r="M6" s="11" t="s">
        <v>114</v>
      </c>
      <c r="N6" s="12">
        <f ca="1" t="shared" si="2"/>
        <v>1824</v>
      </c>
      <c r="O6" s="11" t="s">
        <v>104</v>
      </c>
    </row>
    <row r="7" spans="1:15">
      <c r="A7" s="11">
        <v>5</v>
      </c>
      <c r="B7" s="12">
        <v>3597</v>
      </c>
      <c r="C7" s="11" t="s">
        <v>115</v>
      </c>
      <c r="D7" s="11" t="s">
        <v>116</v>
      </c>
      <c r="E7" s="11" t="s">
        <v>28</v>
      </c>
      <c r="F7" s="11" t="s">
        <v>102</v>
      </c>
      <c r="G7" s="11">
        <v>2366</v>
      </c>
      <c r="H7" s="13">
        <f t="shared" si="0"/>
        <v>78.8666666666667</v>
      </c>
      <c r="I7" s="18">
        <v>4.99</v>
      </c>
      <c r="J7" s="19">
        <f t="shared" si="1"/>
        <v>11806.34</v>
      </c>
      <c r="K7" s="12">
        <v>7958</v>
      </c>
      <c r="L7" s="11">
        <v>4.6</v>
      </c>
      <c r="M7" s="11" t="s">
        <v>117</v>
      </c>
      <c r="N7" s="12">
        <f ca="1" t="shared" si="2"/>
        <v>2767</v>
      </c>
      <c r="O7" s="11" t="s">
        <v>104</v>
      </c>
    </row>
    <row r="8" spans="1:15">
      <c r="A8" s="11">
        <v>6</v>
      </c>
      <c r="B8" s="12">
        <v>5057</v>
      </c>
      <c r="C8" s="11" t="s">
        <v>118</v>
      </c>
      <c r="D8" s="11" t="s">
        <v>119</v>
      </c>
      <c r="E8" s="11" t="s">
        <v>39</v>
      </c>
      <c r="F8" s="11" t="s">
        <v>102</v>
      </c>
      <c r="G8" s="11">
        <v>2361</v>
      </c>
      <c r="H8" s="13">
        <f t="shared" si="0"/>
        <v>78.7</v>
      </c>
      <c r="I8" s="18">
        <v>4.99</v>
      </c>
      <c r="J8" s="19">
        <f t="shared" si="1"/>
        <v>11781.39</v>
      </c>
      <c r="K8" s="12">
        <v>97</v>
      </c>
      <c r="L8" s="11">
        <v>4.8</v>
      </c>
      <c r="M8" s="11" t="s">
        <v>120</v>
      </c>
      <c r="N8" s="12">
        <f ca="1" t="shared" si="2"/>
        <v>172</v>
      </c>
      <c r="O8" s="11" t="s">
        <v>104</v>
      </c>
    </row>
    <row r="9" s="3" customFormat="1" spans="1:15">
      <c r="A9" s="14">
        <v>7</v>
      </c>
      <c r="B9" s="12">
        <v>3624</v>
      </c>
      <c r="C9" s="11" t="s">
        <v>121</v>
      </c>
      <c r="D9" s="11" t="s">
        <v>122</v>
      </c>
      <c r="E9" s="11" t="s">
        <v>14</v>
      </c>
      <c r="F9" s="11" t="s">
        <v>102</v>
      </c>
      <c r="G9" s="11">
        <v>2268</v>
      </c>
      <c r="H9" s="13">
        <f t="shared" si="0"/>
        <v>75.6</v>
      </c>
      <c r="I9" s="18">
        <v>16.99</v>
      </c>
      <c r="J9" s="19">
        <f t="shared" si="1"/>
        <v>38533.32</v>
      </c>
      <c r="K9" s="12">
        <v>1268</v>
      </c>
      <c r="L9" s="11">
        <v>4.8</v>
      </c>
      <c r="M9" s="11" t="s">
        <v>123</v>
      </c>
      <c r="N9" s="12">
        <f ca="1" t="shared" si="2"/>
        <v>1125</v>
      </c>
      <c r="O9" s="11" t="s">
        <v>111</v>
      </c>
    </row>
    <row r="10" spans="1:15">
      <c r="A10" s="11">
        <v>8</v>
      </c>
      <c r="B10" s="12">
        <v>4115</v>
      </c>
      <c r="C10" s="11" t="s">
        <v>124</v>
      </c>
      <c r="D10" s="11" t="s">
        <v>125</v>
      </c>
      <c r="E10" s="11" t="s">
        <v>20</v>
      </c>
      <c r="F10" s="11" t="s">
        <v>102</v>
      </c>
      <c r="G10" s="11">
        <v>2184</v>
      </c>
      <c r="H10" s="13">
        <f t="shared" si="0"/>
        <v>72.8</v>
      </c>
      <c r="I10" s="18">
        <v>9.99</v>
      </c>
      <c r="J10" s="19">
        <f t="shared" si="1"/>
        <v>21818.16</v>
      </c>
      <c r="K10" s="12">
        <v>1103</v>
      </c>
      <c r="L10" s="11">
        <v>4.8</v>
      </c>
      <c r="M10" s="11" t="s">
        <v>126</v>
      </c>
      <c r="N10" s="12">
        <f ca="1" t="shared" si="2"/>
        <v>1426</v>
      </c>
      <c r="O10" s="11" t="s">
        <v>104</v>
      </c>
    </row>
    <row r="11" spans="1:15">
      <c r="A11" s="11">
        <v>9</v>
      </c>
      <c r="B11" s="12">
        <v>5992</v>
      </c>
      <c r="C11" s="11" t="s">
        <v>127</v>
      </c>
      <c r="D11" s="11" t="s">
        <v>128</v>
      </c>
      <c r="E11" s="11" t="s">
        <v>9</v>
      </c>
      <c r="F11" s="11" t="s">
        <v>102</v>
      </c>
      <c r="G11" s="11">
        <v>2148</v>
      </c>
      <c r="H11" s="13">
        <f t="shared" si="0"/>
        <v>71.6</v>
      </c>
      <c r="I11" s="18">
        <v>8.87</v>
      </c>
      <c r="J11" s="19">
        <f t="shared" si="1"/>
        <v>19052.76</v>
      </c>
      <c r="K11" s="12">
        <v>854</v>
      </c>
      <c r="L11" s="11">
        <v>4.7</v>
      </c>
      <c r="M11" s="11" t="s">
        <v>129</v>
      </c>
      <c r="N11" s="12">
        <f ca="1" t="shared" si="2"/>
        <v>1523</v>
      </c>
      <c r="O11" s="11" t="s">
        <v>104</v>
      </c>
    </row>
    <row r="12" spans="1:15">
      <c r="A12" s="11">
        <v>10</v>
      </c>
      <c r="B12" s="12">
        <v>5849</v>
      </c>
      <c r="C12" s="11" t="s">
        <v>130</v>
      </c>
      <c r="D12" s="11" t="s">
        <v>131</v>
      </c>
      <c r="E12" s="11" t="s">
        <v>41</v>
      </c>
      <c r="F12" s="11" t="s">
        <v>102</v>
      </c>
      <c r="G12" s="11">
        <v>2085</v>
      </c>
      <c r="H12" s="13">
        <f t="shared" si="0"/>
        <v>69.5</v>
      </c>
      <c r="I12" s="18">
        <v>9.99</v>
      </c>
      <c r="J12" s="19">
        <f t="shared" si="1"/>
        <v>20829.15</v>
      </c>
      <c r="K12" s="12">
        <v>210</v>
      </c>
      <c r="L12" s="11">
        <v>4.4</v>
      </c>
      <c r="M12" s="11" t="s">
        <v>132</v>
      </c>
      <c r="N12" s="12">
        <f ca="1" t="shared" si="2"/>
        <v>317</v>
      </c>
      <c r="O12" s="11" t="s">
        <v>104</v>
      </c>
    </row>
    <row r="13" s="4" customFormat="1" spans="1:15">
      <c r="A13" s="15">
        <v>11</v>
      </c>
      <c r="B13" s="12">
        <v>4052</v>
      </c>
      <c r="C13" s="11" t="s">
        <v>133</v>
      </c>
      <c r="D13" s="11" t="s">
        <v>134</v>
      </c>
      <c r="E13" s="11" t="s">
        <v>19</v>
      </c>
      <c r="F13" s="11" t="s">
        <v>102</v>
      </c>
      <c r="G13" s="11">
        <v>1855</v>
      </c>
      <c r="H13" s="13">
        <f t="shared" si="0"/>
        <v>61.8333333333333</v>
      </c>
      <c r="I13" s="18">
        <v>12.99</v>
      </c>
      <c r="J13" s="19">
        <f t="shared" si="1"/>
        <v>24096.45</v>
      </c>
      <c r="K13" s="12">
        <v>171</v>
      </c>
      <c r="L13" s="11">
        <v>4.4</v>
      </c>
      <c r="M13" s="11" t="s">
        <v>135</v>
      </c>
      <c r="N13" s="12">
        <f ca="1" t="shared" si="2"/>
        <v>252</v>
      </c>
      <c r="O13" s="11" t="s">
        <v>104</v>
      </c>
    </row>
    <row r="14" spans="1:15">
      <c r="A14" s="11">
        <v>12</v>
      </c>
      <c r="B14" s="12">
        <v>2166</v>
      </c>
      <c r="C14" s="11" t="s">
        <v>136</v>
      </c>
      <c r="D14" s="11" t="s">
        <v>137</v>
      </c>
      <c r="E14" s="11" t="s">
        <v>44</v>
      </c>
      <c r="F14" s="11" t="s">
        <v>102</v>
      </c>
      <c r="G14" s="11">
        <v>1689</v>
      </c>
      <c r="H14" s="13">
        <f t="shared" si="0"/>
        <v>56.3</v>
      </c>
      <c r="I14" s="18">
        <v>5.99</v>
      </c>
      <c r="J14" s="19">
        <f t="shared" si="1"/>
        <v>10117.11</v>
      </c>
      <c r="K14" s="12">
        <v>2102</v>
      </c>
      <c r="L14" s="11">
        <v>4.5</v>
      </c>
      <c r="M14" s="11" t="s">
        <v>138</v>
      </c>
      <c r="N14" s="12">
        <f ca="1" t="shared" si="2"/>
        <v>2304</v>
      </c>
      <c r="O14" s="11" t="s">
        <v>104</v>
      </c>
    </row>
    <row r="15" spans="1:15">
      <c r="A15" s="11">
        <v>13</v>
      </c>
      <c r="B15" s="12">
        <v>7131</v>
      </c>
      <c r="C15" s="11" t="s">
        <v>139</v>
      </c>
      <c r="D15" s="11" t="s">
        <v>140</v>
      </c>
      <c r="E15" s="11" t="s">
        <v>33</v>
      </c>
      <c r="F15" s="11" t="s">
        <v>102</v>
      </c>
      <c r="G15" s="11">
        <v>1614</v>
      </c>
      <c r="H15" s="13">
        <f t="shared" si="0"/>
        <v>53.8</v>
      </c>
      <c r="I15" s="18">
        <v>8.99</v>
      </c>
      <c r="J15" s="19">
        <f t="shared" si="1"/>
        <v>14509.86</v>
      </c>
      <c r="K15" s="12">
        <v>668</v>
      </c>
      <c r="L15" s="11">
        <v>4.6</v>
      </c>
      <c r="M15" s="11" t="s">
        <v>141</v>
      </c>
      <c r="N15" s="12">
        <f ca="1" t="shared" si="2"/>
        <v>1502</v>
      </c>
      <c r="O15" s="11" t="s">
        <v>104</v>
      </c>
    </row>
    <row r="16" spans="1:15">
      <c r="A16" s="11">
        <v>14</v>
      </c>
      <c r="B16" s="12">
        <v>7643</v>
      </c>
      <c r="C16" s="11" t="s">
        <v>142</v>
      </c>
      <c r="D16" s="11" t="s">
        <v>143</v>
      </c>
      <c r="E16" s="11" t="s">
        <v>19</v>
      </c>
      <c r="F16" s="11" t="s">
        <v>102</v>
      </c>
      <c r="G16" s="11">
        <v>1567</v>
      </c>
      <c r="H16" s="13">
        <f t="shared" si="0"/>
        <v>52.2333333333333</v>
      </c>
      <c r="I16" s="18">
        <v>8.72</v>
      </c>
      <c r="J16" s="19">
        <f t="shared" si="1"/>
        <v>13664.24</v>
      </c>
      <c r="K16" s="12">
        <v>150</v>
      </c>
      <c r="L16" s="11">
        <v>3.5</v>
      </c>
      <c r="M16" s="11" t="s">
        <v>144</v>
      </c>
      <c r="N16" s="12">
        <f ca="1" t="shared" si="2"/>
        <v>248</v>
      </c>
      <c r="O16" s="11" t="s">
        <v>104</v>
      </c>
    </row>
    <row r="17" spans="1:15">
      <c r="A17" s="11">
        <v>15</v>
      </c>
      <c r="B17" s="12">
        <v>4698</v>
      </c>
      <c r="C17" s="11" t="s">
        <v>145</v>
      </c>
      <c r="D17" s="11" t="s">
        <v>146</v>
      </c>
      <c r="E17" s="11" t="s">
        <v>14</v>
      </c>
      <c r="F17" s="11" t="s">
        <v>102</v>
      </c>
      <c r="G17" s="11">
        <v>1518</v>
      </c>
      <c r="H17" s="13">
        <f t="shared" si="0"/>
        <v>50.6</v>
      </c>
      <c r="I17" s="18">
        <v>12.67</v>
      </c>
      <c r="J17" s="19">
        <f t="shared" si="1"/>
        <v>19233.06</v>
      </c>
      <c r="K17" s="12">
        <v>955</v>
      </c>
      <c r="L17" s="11">
        <v>4.8</v>
      </c>
      <c r="M17" s="11" t="s">
        <v>147</v>
      </c>
      <c r="N17" s="12">
        <f ca="1" t="shared" si="2"/>
        <v>875</v>
      </c>
      <c r="O17" s="11" t="s">
        <v>111</v>
      </c>
    </row>
    <row r="18" spans="1:15">
      <c r="A18" s="11">
        <v>16</v>
      </c>
      <c r="B18" s="12">
        <v>3741</v>
      </c>
      <c r="C18" s="11" t="s">
        <v>148</v>
      </c>
      <c r="D18" s="11" t="s">
        <v>149</v>
      </c>
      <c r="E18" s="11" t="s">
        <v>45</v>
      </c>
      <c r="F18" s="11" t="s">
        <v>102</v>
      </c>
      <c r="G18" s="11">
        <v>1504</v>
      </c>
      <c r="H18" s="13">
        <f t="shared" si="0"/>
        <v>50.1333333333333</v>
      </c>
      <c r="I18" s="18">
        <v>4.99</v>
      </c>
      <c r="J18" s="19">
        <f t="shared" si="1"/>
        <v>7504.96</v>
      </c>
      <c r="K18" s="12">
        <v>2830</v>
      </c>
      <c r="L18" s="11">
        <v>4.8</v>
      </c>
      <c r="M18" s="11" t="s">
        <v>150</v>
      </c>
      <c r="N18" s="12">
        <f ca="1" t="shared" si="2"/>
        <v>1920</v>
      </c>
      <c r="O18" s="11" t="s">
        <v>104</v>
      </c>
    </row>
    <row r="19" spans="1:15">
      <c r="A19" s="11">
        <v>17</v>
      </c>
      <c r="B19" s="12">
        <v>115</v>
      </c>
      <c r="C19" s="11" t="s">
        <v>151</v>
      </c>
      <c r="D19" s="11" t="s">
        <v>152</v>
      </c>
      <c r="E19" s="11" t="s">
        <v>22</v>
      </c>
      <c r="F19" s="11" t="s">
        <v>102</v>
      </c>
      <c r="G19" s="11">
        <v>1493</v>
      </c>
      <c r="H19" s="13">
        <f t="shared" si="0"/>
        <v>49.7666666666667</v>
      </c>
      <c r="I19" s="18">
        <v>17.99</v>
      </c>
      <c r="J19" s="19">
        <f t="shared" si="1"/>
        <v>26859.07</v>
      </c>
      <c r="K19" s="12">
        <v>588</v>
      </c>
      <c r="L19" s="11">
        <v>4.6</v>
      </c>
      <c r="M19" s="11" t="s">
        <v>153</v>
      </c>
      <c r="N19" s="12">
        <f ca="1" t="shared" si="2"/>
        <v>924</v>
      </c>
      <c r="O19" s="11" t="s">
        <v>154</v>
      </c>
    </row>
    <row r="20" spans="1:15">
      <c r="A20" s="11">
        <v>18</v>
      </c>
      <c r="B20" s="12">
        <v>3723</v>
      </c>
      <c r="C20" s="11" t="s">
        <v>155</v>
      </c>
      <c r="D20" s="11" t="s">
        <v>156</v>
      </c>
      <c r="E20" s="11" t="s">
        <v>23</v>
      </c>
      <c r="F20" s="11" t="s">
        <v>102</v>
      </c>
      <c r="G20" s="11">
        <v>1458</v>
      </c>
      <c r="H20" s="13">
        <f t="shared" si="0"/>
        <v>48.6</v>
      </c>
      <c r="I20" s="18">
        <v>4.36</v>
      </c>
      <c r="J20" s="19">
        <f t="shared" si="1"/>
        <v>6356.88</v>
      </c>
      <c r="K20" s="12">
        <v>1096</v>
      </c>
      <c r="L20" s="11">
        <v>4.7</v>
      </c>
      <c r="M20" s="11" t="s">
        <v>157</v>
      </c>
      <c r="N20" s="12">
        <f ca="1" t="shared" si="2"/>
        <v>1226</v>
      </c>
      <c r="O20" s="11" t="s">
        <v>104</v>
      </c>
    </row>
    <row r="21" spans="1:15">
      <c r="A21" s="11">
        <v>19</v>
      </c>
      <c r="B21" s="12">
        <v>5929</v>
      </c>
      <c r="C21" s="11" t="s">
        <v>158</v>
      </c>
      <c r="D21" s="11" t="s">
        <v>159</v>
      </c>
      <c r="E21" s="11" t="s">
        <v>11</v>
      </c>
      <c r="F21" s="11" t="s">
        <v>102</v>
      </c>
      <c r="G21" s="11">
        <v>1394</v>
      </c>
      <c r="H21" s="13">
        <f t="shared" si="0"/>
        <v>46.4666666666667</v>
      </c>
      <c r="I21" s="18">
        <v>9.19</v>
      </c>
      <c r="J21" s="19">
        <f t="shared" si="1"/>
        <v>12810.86</v>
      </c>
      <c r="K21" s="12">
        <v>918</v>
      </c>
      <c r="L21" s="11">
        <v>4.8</v>
      </c>
      <c r="M21" s="11" t="s">
        <v>160</v>
      </c>
      <c r="N21" s="12">
        <f ca="1" t="shared" si="2"/>
        <v>1239</v>
      </c>
      <c r="O21" s="11" t="s">
        <v>111</v>
      </c>
    </row>
    <row r="22" spans="1:15">
      <c r="A22" s="11">
        <v>20</v>
      </c>
      <c r="B22" s="12">
        <v>4344</v>
      </c>
      <c r="C22" s="11" t="s">
        <v>161</v>
      </c>
      <c r="D22" s="11" t="s">
        <v>162</v>
      </c>
      <c r="E22" s="11" t="s">
        <v>43</v>
      </c>
      <c r="F22" s="11" t="s">
        <v>102</v>
      </c>
      <c r="G22" s="11">
        <v>1383</v>
      </c>
      <c r="H22" s="13">
        <f t="shared" si="0"/>
        <v>46.1</v>
      </c>
      <c r="I22" s="18">
        <v>13.99</v>
      </c>
      <c r="J22" s="19">
        <f t="shared" si="1"/>
        <v>19348.17</v>
      </c>
      <c r="K22" s="12">
        <v>323</v>
      </c>
      <c r="L22" s="11">
        <v>4.8</v>
      </c>
      <c r="M22" s="11" t="s">
        <v>163</v>
      </c>
      <c r="N22" s="12">
        <f ca="1" t="shared" si="2"/>
        <v>376</v>
      </c>
      <c r="O22" s="11" t="s">
        <v>104</v>
      </c>
    </row>
    <row r="23" spans="1:15">
      <c r="A23" s="11">
        <v>21</v>
      </c>
      <c r="B23" s="12">
        <v>6349</v>
      </c>
      <c r="C23" s="11" t="s">
        <v>164</v>
      </c>
      <c r="D23" s="11" t="s">
        <v>165</v>
      </c>
      <c r="E23" s="11" t="s">
        <v>24</v>
      </c>
      <c r="F23" s="11" t="s">
        <v>102</v>
      </c>
      <c r="G23" s="11">
        <v>1378</v>
      </c>
      <c r="H23" s="13">
        <f t="shared" si="0"/>
        <v>45.9333333333333</v>
      </c>
      <c r="I23" s="18">
        <v>6.1</v>
      </c>
      <c r="J23" s="19">
        <f t="shared" si="1"/>
        <v>8405.8</v>
      </c>
      <c r="K23" s="12">
        <v>451</v>
      </c>
      <c r="L23" s="11">
        <v>4.5</v>
      </c>
      <c r="M23" s="11" t="s">
        <v>166</v>
      </c>
      <c r="N23" s="12">
        <f ca="1" t="shared" si="2"/>
        <v>1583</v>
      </c>
      <c r="O23" s="11" t="s">
        <v>104</v>
      </c>
    </row>
    <row r="24" spans="1:15">
      <c r="A24" s="11">
        <v>22</v>
      </c>
      <c r="B24" s="12">
        <v>7152</v>
      </c>
      <c r="C24" s="11" t="s">
        <v>167</v>
      </c>
      <c r="D24" s="11" t="s">
        <v>168</v>
      </c>
      <c r="E24" s="11" t="s">
        <v>26</v>
      </c>
      <c r="F24" s="11" t="s">
        <v>102</v>
      </c>
      <c r="G24" s="11">
        <v>1045</v>
      </c>
      <c r="H24" s="13">
        <f t="shared" si="0"/>
        <v>34.8333333333333</v>
      </c>
      <c r="I24" s="18">
        <v>6.99</v>
      </c>
      <c r="J24" s="19">
        <f t="shared" si="1"/>
        <v>7304.55</v>
      </c>
      <c r="K24" s="12">
        <v>32</v>
      </c>
      <c r="L24" s="11">
        <v>4.3</v>
      </c>
      <c r="M24" s="11" t="s">
        <v>169</v>
      </c>
      <c r="N24" s="12">
        <f ca="1" t="shared" si="2"/>
        <v>470</v>
      </c>
      <c r="O24" s="11" t="s">
        <v>104</v>
      </c>
    </row>
    <row r="25" spans="1:15">
      <c r="A25" s="11">
        <v>23</v>
      </c>
      <c r="B25" s="12">
        <v>7362</v>
      </c>
      <c r="C25" s="11" t="s">
        <v>170</v>
      </c>
      <c r="D25" s="11" t="s">
        <v>171</v>
      </c>
      <c r="E25" s="11" t="s">
        <v>8</v>
      </c>
      <c r="F25" s="11" t="s">
        <v>102</v>
      </c>
      <c r="G25" s="11">
        <v>1044</v>
      </c>
      <c r="H25" s="13">
        <f t="shared" si="0"/>
        <v>34.8</v>
      </c>
      <c r="I25" s="18">
        <v>11.88</v>
      </c>
      <c r="J25" s="19">
        <f t="shared" si="1"/>
        <v>12402.72</v>
      </c>
      <c r="K25" s="12">
        <v>119</v>
      </c>
      <c r="L25" s="11">
        <v>4.4</v>
      </c>
      <c r="M25" s="11" t="s">
        <v>172</v>
      </c>
      <c r="N25" s="12">
        <f ca="1" t="shared" si="2"/>
        <v>459</v>
      </c>
      <c r="O25" s="11" t="s">
        <v>104</v>
      </c>
    </row>
    <row r="26" spans="1:15">
      <c r="A26" s="11">
        <v>24</v>
      </c>
      <c r="B26" s="12">
        <v>2728</v>
      </c>
      <c r="C26" s="11" t="s">
        <v>173</v>
      </c>
      <c r="D26" s="11" t="s">
        <v>174</v>
      </c>
      <c r="E26" s="11" t="s">
        <v>42</v>
      </c>
      <c r="F26" s="11" t="s">
        <v>102</v>
      </c>
      <c r="G26" s="11">
        <v>949</v>
      </c>
      <c r="H26" s="13">
        <f t="shared" si="0"/>
        <v>31.6333333333333</v>
      </c>
      <c r="I26" s="18">
        <v>10.47</v>
      </c>
      <c r="J26" s="19">
        <f t="shared" si="1"/>
        <v>9936.03</v>
      </c>
      <c r="K26" s="12">
        <v>1228</v>
      </c>
      <c r="L26" s="11">
        <v>4.6</v>
      </c>
      <c r="M26" s="11" t="s">
        <v>175</v>
      </c>
      <c r="N26" s="12">
        <f ca="1" t="shared" si="2"/>
        <v>968</v>
      </c>
      <c r="O26" s="11" t="s">
        <v>104</v>
      </c>
    </row>
    <row r="27" spans="1:15">
      <c r="A27" s="11">
        <v>25</v>
      </c>
      <c r="B27" s="12">
        <v>5914</v>
      </c>
      <c r="C27" s="11" t="s">
        <v>176</v>
      </c>
      <c r="D27" s="11" t="s">
        <v>177</v>
      </c>
      <c r="E27" s="11" t="s">
        <v>21</v>
      </c>
      <c r="F27" s="11" t="s">
        <v>102</v>
      </c>
      <c r="G27" s="11">
        <v>941</v>
      </c>
      <c r="H27" s="13">
        <f t="shared" si="0"/>
        <v>31.3666666666667</v>
      </c>
      <c r="I27" s="18">
        <v>6.99</v>
      </c>
      <c r="J27" s="19">
        <f t="shared" si="1"/>
        <v>6577.59</v>
      </c>
      <c r="K27" s="12">
        <v>1137</v>
      </c>
      <c r="L27" s="11">
        <v>4.8</v>
      </c>
      <c r="M27" s="11" t="s">
        <v>178</v>
      </c>
      <c r="N27" s="12">
        <f ca="1" t="shared" si="2"/>
        <v>1829</v>
      </c>
      <c r="O27" s="11" t="s">
        <v>104</v>
      </c>
    </row>
    <row r="28" s="3" customFormat="1" spans="1:15">
      <c r="A28" s="14">
        <v>26</v>
      </c>
      <c r="B28" s="12">
        <v>6466</v>
      </c>
      <c r="C28" s="11" t="s">
        <v>179</v>
      </c>
      <c r="D28" s="11" t="s">
        <v>180</v>
      </c>
      <c r="E28" s="11" t="s">
        <v>14</v>
      </c>
      <c r="F28" s="11" t="s">
        <v>102</v>
      </c>
      <c r="G28" s="11">
        <v>938</v>
      </c>
      <c r="H28" s="13">
        <f t="shared" si="0"/>
        <v>31.2666666666667</v>
      </c>
      <c r="I28" s="18">
        <v>13.99</v>
      </c>
      <c r="J28" s="19">
        <f t="shared" si="1"/>
        <v>13122.62</v>
      </c>
      <c r="K28" s="12">
        <v>549</v>
      </c>
      <c r="L28" s="11">
        <v>4.7</v>
      </c>
      <c r="M28" s="11" t="s">
        <v>181</v>
      </c>
      <c r="N28" s="12">
        <f ca="1" t="shared" si="2"/>
        <v>1246</v>
      </c>
      <c r="O28" s="11" t="s">
        <v>111</v>
      </c>
    </row>
    <row r="29" spans="1:15">
      <c r="A29" s="11">
        <v>27</v>
      </c>
      <c r="B29" s="12">
        <v>5133</v>
      </c>
      <c r="C29" s="11" t="s">
        <v>182</v>
      </c>
      <c r="D29" s="11" t="s">
        <v>183</v>
      </c>
      <c r="E29" s="11" t="s">
        <v>36</v>
      </c>
      <c r="F29" s="11" t="s">
        <v>102</v>
      </c>
      <c r="G29" s="11">
        <v>929</v>
      </c>
      <c r="H29" s="13">
        <f t="shared" si="0"/>
        <v>30.9666666666667</v>
      </c>
      <c r="I29" s="18">
        <v>5.99</v>
      </c>
      <c r="J29" s="19">
        <f t="shared" si="1"/>
        <v>5564.71</v>
      </c>
      <c r="K29" s="12">
        <v>977</v>
      </c>
      <c r="L29" s="11">
        <v>4.7</v>
      </c>
      <c r="M29" s="11" t="s">
        <v>184</v>
      </c>
      <c r="N29" s="12">
        <f ca="1" t="shared" si="2"/>
        <v>1580</v>
      </c>
      <c r="O29" s="11" t="s">
        <v>104</v>
      </c>
    </row>
    <row r="30" spans="1:15">
      <c r="A30" s="11">
        <v>28</v>
      </c>
      <c r="B30" s="12">
        <v>6340</v>
      </c>
      <c r="C30" s="11" t="s">
        <v>185</v>
      </c>
      <c r="D30" s="11" t="s">
        <v>186</v>
      </c>
      <c r="E30" s="11" t="s">
        <v>43</v>
      </c>
      <c r="F30" s="11" t="s">
        <v>102</v>
      </c>
      <c r="G30" s="11">
        <v>924</v>
      </c>
      <c r="H30" s="13">
        <f t="shared" si="0"/>
        <v>30.8</v>
      </c>
      <c r="I30" s="18">
        <v>15.99</v>
      </c>
      <c r="J30" s="19">
        <f t="shared" si="1"/>
        <v>14774.76</v>
      </c>
      <c r="K30" s="12">
        <v>794</v>
      </c>
      <c r="L30" s="11">
        <v>4.8</v>
      </c>
      <c r="M30" s="11" t="s">
        <v>187</v>
      </c>
      <c r="N30" s="12">
        <f ca="1" t="shared" si="2"/>
        <v>708</v>
      </c>
      <c r="O30" s="11" t="s">
        <v>104</v>
      </c>
    </row>
    <row r="31" spans="1:15">
      <c r="A31" s="11">
        <v>29</v>
      </c>
      <c r="B31" s="12">
        <v>6351</v>
      </c>
      <c r="C31" s="11" t="s">
        <v>188</v>
      </c>
      <c r="D31" s="11" t="s">
        <v>189</v>
      </c>
      <c r="E31" s="11" t="s">
        <v>31</v>
      </c>
      <c r="F31" s="11" t="s">
        <v>102</v>
      </c>
      <c r="G31" s="11">
        <v>900</v>
      </c>
      <c r="H31" s="13">
        <f t="shared" si="0"/>
        <v>30</v>
      </c>
      <c r="I31" s="18">
        <v>7.99</v>
      </c>
      <c r="J31" s="19">
        <f t="shared" si="1"/>
        <v>7191</v>
      </c>
      <c r="K31" s="12">
        <v>618</v>
      </c>
      <c r="L31" s="11">
        <v>4.8</v>
      </c>
      <c r="M31" s="11" t="s">
        <v>190</v>
      </c>
      <c r="N31" s="12">
        <f ca="1" t="shared" si="2"/>
        <v>206</v>
      </c>
      <c r="O31" s="11" t="s">
        <v>104</v>
      </c>
    </row>
    <row r="32" spans="1:15">
      <c r="A32" s="11">
        <v>30</v>
      </c>
      <c r="B32" s="12">
        <v>6454</v>
      </c>
      <c r="C32" s="11" t="s">
        <v>191</v>
      </c>
      <c r="D32" s="11" t="s">
        <v>192</v>
      </c>
      <c r="E32" s="11" t="s">
        <v>17</v>
      </c>
      <c r="F32" s="11" t="s">
        <v>102</v>
      </c>
      <c r="G32" s="11">
        <v>884</v>
      </c>
      <c r="H32" s="13">
        <f t="shared" si="0"/>
        <v>29.4666666666667</v>
      </c>
      <c r="I32" s="18">
        <v>8.99</v>
      </c>
      <c r="J32" s="19">
        <f t="shared" si="1"/>
        <v>7947.16</v>
      </c>
      <c r="K32" s="12">
        <v>155</v>
      </c>
      <c r="L32" s="11">
        <v>4.7</v>
      </c>
      <c r="M32" s="11" t="s">
        <v>193</v>
      </c>
      <c r="N32" s="12">
        <f ca="1" t="shared" si="2"/>
        <v>228</v>
      </c>
      <c r="O32" s="11" t="s">
        <v>104</v>
      </c>
    </row>
    <row r="33" spans="1:15">
      <c r="A33" s="11">
        <v>31</v>
      </c>
      <c r="B33" s="12">
        <v>5809</v>
      </c>
      <c r="C33" s="11" t="s">
        <v>194</v>
      </c>
      <c r="D33" s="11" t="s">
        <v>195</v>
      </c>
      <c r="E33" s="11" t="s">
        <v>37</v>
      </c>
      <c r="F33" s="11" t="s">
        <v>102</v>
      </c>
      <c r="G33" s="11">
        <v>849</v>
      </c>
      <c r="H33" s="13">
        <f t="shared" si="0"/>
        <v>28.3</v>
      </c>
      <c r="I33" s="18">
        <v>7.99</v>
      </c>
      <c r="J33" s="19">
        <f t="shared" si="1"/>
        <v>6783.51</v>
      </c>
      <c r="K33" s="12">
        <v>499</v>
      </c>
      <c r="L33" s="11">
        <v>4.8</v>
      </c>
      <c r="M33" s="11" t="s">
        <v>196</v>
      </c>
      <c r="N33" s="12">
        <f ca="1" t="shared" si="2"/>
        <v>726</v>
      </c>
      <c r="O33" s="11" t="s">
        <v>104</v>
      </c>
    </row>
    <row r="34" spans="1:15">
      <c r="A34" s="11">
        <v>32</v>
      </c>
      <c r="B34" s="12">
        <v>7088</v>
      </c>
      <c r="C34" s="11" t="s">
        <v>197</v>
      </c>
      <c r="D34" s="11" t="s">
        <v>198</v>
      </c>
      <c r="E34" s="11" t="s">
        <v>32</v>
      </c>
      <c r="F34" s="11" t="s">
        <v>102</v>
      </c>
      <c r="G34" s="11">
        <v>844</v>
      </c>
      <c r="H34" s="13">
        <f t="shared" si="0"/>
        <v>28.1333333333333</v>
      </c>
      <c r="I34" s="18">
        <v>5.99</v>
      </c>
      <c r="J34" s="19">
        <f t="shared" si="1"/>
        <v>5055.56</v>
      </c>
      <c r="K34" s="12">
        <v>38</v>
      </c>
      <c r="L34" s="11">
        <v>4.9</v>
      </c>
      <c r="M34" s="11" t="s">
        <v>199</v>
      </c>
      <c r="N34" s="12">
        <f ca="1" t="shared" si="2"/>
        <v>121</v>
      </c>
      <c r="O34" s="11" t="s">
        <v>104</v>
      </c>
    </row>
    <row r="35" spans="1:15">
      <c r="A35" s="11">
        <v>33</v>
      </c>
      <c r="B35" s="12">
        <v>6564</v>
      </c>
      <c r="C35" s="11" t="s">
        <v>200</v>
      </c>
      <c r="D35" s="11" t="s">
        <v>201</v>
      </c>
      <c r="E35" s="11" t="s">
        <v>29</v>
      </c>
      <c r="F35" s="11" t="s">
        <v>102</v>
      </c>
      <c r="G35" s="11">
        <v>834</v>
      </c>
      <c r="H35" s="13">
        <f t="shared" si="0"/>
        <v>27.8</v>
      </c>
      <c r="I35" s="18">
        <v>11.34</v>
      </c>
      <c r="J35" s="19">
        <f t="shared" si="1"/>
        <v>9457.56</v>
      </c>
      <c r="K35" s="12">
        <v>6</v>
      </c>
      <c r="L35" s="11">
        <v>4</v>
      </c>
      <c r="M35" s="11" t="s">
        <v>202</v>
      </c>
      <c r="N35" s="12">
        <f ca="1" t="shared" si="2"/>
        <v>88</v>
      </c>
      <c r="O35" s="11" t="s">
        <v>104</v>
      </c>
    </row>
    <row r="36" spans="1:15">
      <c r="A36" s="11">
        <v>34</v>
      </c>
      <c r="B36" s="12">
        <v>7368</v>
      </c>
      <c r="C36" s="11" t="s">
        <v>203</v>
      </c>
      <c r="D36" s="11" t="s">
        <v>204</v>
      </c>
      <c r="E36" s="11" t="s">
        <v>35</v>
      </c>
      <c r="F36" s="11" t="s">
        <v>102</v>
      </c>
      <c r="G36" s="11">
        <v>808</v>
      </c>
      <c r="H36" s="13">
        <f t="shared" si="0"/>
        <v>26.9333333333333</v>
      </c>
      <c r="I36" s="18">
        <v>8.99</v>
      </c>
      <c r="J36" s="19">
        <f t="shared" si="1"/>
        <v>7263.92</v>
      </c>
      <c r="K36" s="12">
        <v>470</v>
      </c>
      <c r="L36" s="11">
        <v>4.6</v>
      </c>
      <c r="M36" s="11" t="s">
        <v>205</v>
      </c>
      <c r="N36" s="12">
        <f ca="1" t="shared" si="2"/>
        <v>1475</v>
      </c>
      <c r="O36" s="11" t="s">
        <v>104</v>
      </c>
    </row>
    <row r="37" spans="1:15">
      <c r="A37" s="11">
        <v>35</v>
      </c>
      <c r="B37" s="12">
        <v>3661</v>
      </c>
      <c r="C37" s="11" t="s">
        <v>206</v>
      </c>
      <c r="D37" s="11" t="s">
        <v>207</v>
      </c>
      <c r="E37" s="11" t="s">
        <v>10</v>
      </c>
      <c r="F37" s="11" t="s">
        <v>102</v>
      </c>
      <c r="G37" s="11">
        <v>783</v>
      </c>
      <c r="H37" s="13">
        <f t="shared" si="0"/>
        <v>26.1</v>
      </c>
      <c r="I37" s="18">
        <v>9.99</v>
      </c>
      <c r="J37" s="19">
        <f t="shared" si="1"/>
        <v>7822.17</v>
      </c>
      <c r="K37" s="12">
        <v>475</v>
      </c>
      <c r="L37" s="11">
        <v>4.7</v>
      </c>
      <c r="M37" s="11" t="s">
        <v>208</v>
      </c>
      <c r="N37" s="12">
        <f ca="1" t="shared" si="2"/>
        <v>785</v>
      </c>
      <c r="O37" s="11" t="s">
        <v>104</v>
      </c>
    </row>
    <row r="38" spans="1:15">
      <c r="A38" s="11">
        <v>36</v>
      </c>
      <c r="B38" s="12">
        <v>7773</v>
      </c>
      <c r="C38" s="11" t="s">
        <v>209</v>
      </c>
      <c r="D38" s="11" t="s">
        <v>210</v>
      </c>
      <c r="E38" s="11" t="s">
        <v>38</v>
      </c>
      <c r="F38" s="11" t="s">
        <v>102</v>
      </c>
      <c r="G38" s="11">
        <v>730</v>
      </c>
      <c r="H38" s="13">
        <f t="shared" si="0"/>
        <v>24.3333333333333</v>
      </c>
      <c r="I38" s="18">
        <v>9.99</v>
      </c>
      <c r="J38" s="19">
        <f t="shared" si="1"/>
        <v>7292.7</v>
      </c>
      <c r="K38" s="12">
        <v>612</v>
      </c>
      <c r="L38" s="11">
        <v>4.7</v>
      </c>
      <c r="M38" s="11" t="s">
        <v>211</v>
      </c>
      <c r="N38" s="12">
        <f ca="1" t="shared" si="2"/>
        <v>581</v>
      </c>
      <c r="O38" s="11" t="s">
        <v>104</v>
      </c>
    </row>
    <row r="39" spans="1:15">
      <c r="A39" s="11">
        <v>37</v>
      </c>
      <c r="B39" s="12">
        <v>2179</v>
      </c>
      <c r="C39" s="11" t="s">
        <v>212</v>
      </c>
      <c r="D39" s="11" t="s">
        <v>213</v>
      </c>
      <c r="E39" s="11" t="s">
        <v>18</v>
      </c>
      <c r="F39" s="11" t="s">
        <v>102</v>
      </c>
      <c r="G39" s="11">
        <v>725</v>
      </c>
      <c r="H39" s="13">
        <f t="shared" si="0"/>
        <v>24.1666666666667</v>
      </c>
      <c r="I39" s="18">
        <v>4.02</v>
      </c>
      <c r="J39" s="19">
        <f t="shared" si="1"/>
        <v>2914.5</v>
      </c>
      <c r="K39" s="12">
        <v>638</v>
      </c>
      <c r="L39" s="11">
        <v>4.7</v>
      </c>
      <c r="M39" s="11" t="s">
        <v>214</v>
      </c>
      <c r="N39" s="12">
        <f ca="1" t="shared" si="2"/>
        <v>928</v>
      </c>
      <c r="O39" s="11" t="s">
        <v>104</v>
      </c>
    </row>
    <row r="40" spans="1:15">
      <c r="A40" s="11">
        <v>38</v>
      </c>
      <c r="B40" s="12">
        <v>3252</v>
      </c>
      <c r="C40" s="11" t="s">
        <v>215</v>
      </c>
      <c r="D40" s="11" t="s">
        <v>216</v>
      </c>
      <c r="E40" s="11" t="s">
        <v>30</v>
      </c>
      <c r="F40" s="11" t="s">
        <v>102</v>
      </c>
      <c r="G40" s="11">
        <v>692</v>
      </c>
      <c r="H40" s="13">
        <f t="shared" si="0"/>
        <v>23.0666666666667</v>
      </c>
      <c r="I40" s="18">
        <v>6.99</v>
      </c>
      <c r="J40" s="19">
        <f t="shared" si="1"/>
        <v>4837.08</v>
      </c>
      <c r="K40" s="12">
        <v>190</v>
      </c>
      <c r="L40" s="11">
        <v>4.7</v>
      </c>
      <c r="M40" s="11" t="s">
        <v>217</v>
      </c>
      <c r="N40" s="12">
        <f ca="1" t="shared" si="2"/>
        <v>299</v>
      </c>
      <c r="O40" s="11" t="s">
        <v>104</v>
      </c>
    </row>
    <row r="41" spans="1:15">
      <c r="A41" s="11">
        <v>39</v>
      </c>
      <c r="B41" s="12">
        <v>6210</v>
      </c>
      <c r="C41" s="11" t="s">
        <v>218</v>
      </c>
      <c r="D41" s="11" t="s">
        <v>219</v>
      </c>
      <c r="E41" s="11" t="s">
        <v>27</v>
      </c>
      <c r="F41" s="11" t="s">
        <v>102</v>
      </c>
      <c r="G41" s="11">
        <v>691</v>
      </c>
      <c r="H41" s="13">
        <f t="shared" si="0"/>
        <v>23.0333333333333</v>
      </c>
      <c r="I41" s="18">
        <v>15.99</v>
      </c>
      <c r="J41" s="19">
        <f t="shared" si="1"/>
        <v>11049.09</v>
      </c>
      <c r="K41" s="12">
        <v>22</v>
      </c>
      <c r="L41" s="11">
        <v>4</v>
      </c>
      <c r="M41" s="11" t="s">
        <v>220</v>
      </c>
      <c r="N41" s="12">
        <f ca="1" t="shared" si="2"/>
        <v>301</v>
      </c>
      <c r="O41" s="11" t="s">
        <v>104</v>
      </c>
    </row>
    <row r="42" spans="1:15">
      <c r="A42" s="11">
        <v>40</v>
      </c>
      <c r="B42" s="12">
        <v>3488</v>
      </c>
      <c r="C42" s="11" t="s">
        <v>221</v>
      </c>
      <c r="D42" s="11" t="s">
        <v>222</v>
      </c>
      <c r="E42" s="11" t="s">
        <v>12</v>
      </c>
      <c r="F42" s="11" t="s">
        <v>102</v>
      </c>
      <c r="G42" s="11">
        <v>690</v>
      </c>
      <c r="H42" s="13">
        <f t="shared" si="0"/>
        <v>23</v>
      </c>
      <c r="I42" s="18">
        <v>9.99</v>
      </c>
      <c r="J42" s="19">
        <f t="shared" si="1"/>
        <v>6893.1</v>
      </c>
      <c r="K42" s="12">
        <v>836</v>
      </c>
      <c r="L42" s="11">
        <v>4.2</v>
      </c>
      <c r="M42" s="11" t="s">
        <v>223</v>
      </c>
      <c r="N42" s="12">
        <f ca="1" t="shared" si="2"/>
        <v>1590</v>
      </c>
      <c r="O42" s="11" t="s">
        <v>104</v>
      </c>
    </row>
    <row r="43" spans="1:15">
      <c r="A43" s="11">
        <v>41</v>
      </c>
      <c r="B43" s="12">
        <v>5518</v>
      </c>
      <c r="C43" s="11" t="s">
        <v>224</v>
      </c>
      <c r="D43" s="11" t="s">
        <v>225</v>
      </c>
      <c r="E43" s="11" t="s">
        <v>15</v>
      </c>
      <c r="F43" s="11" t="s">
        <v>102</v>
      </c>
      <c r="G43" s="11">
        <v>669</v>
      </c>
      <c r="H43" s="13">
        <f t="shared" si="0"/>
        <v>22.3</v>
      </c>
      <c r="I43" s="18">
        <v>12.99</v>
      </c>
      <c r="J43" s="19">
        <f t="shared" si="1"/>
        <v>8690.31</v>
      </c>
      <c r="K43" s="12">
        <v>349</v>
      </c>
      <c r="L43" s="11">
        <v>4.6</v>
      </c>
      <c r="M43" s="11" t="s">
        <v>226</v>
      </c>
      <c r="N43" s="12">
        <f ca="1" t="shared" si="2"/>
        <v>366</v>
      </c>
      <c r="O43" s="11" t="s">
        <v>104</v>
      </c>
    </row>
    <row r="44" spans="1:15">
      <c r="A44" s="11">
        <v>42</v>
      </c>
      <c r="B44" s="12">
        <v>7935</v>
      </c>
      <c r="C44" s="11" t="s">
        <v>227</v>
      </c>
      <c r="D44" s="11" t="s">
        <v>228</v>
      </c>
      <c r="E44" s="11" t="s">
        <v>18</v>
      </c>
      <c r="F44" s="11" t="s">
        <v>102</v>
      </c>
      <c r="G44" s="11">
        <v>666</v>
      </c>
      <c r="H44" s="13">
        <f t="shared" si="0"/>
        <v>22.2</v>
      </c>
      <c r="I44" s="18">
        <v>6.99</v>
      </c>
      <c r="J44" s="19">
        <f t="shared" si="1"/>
        <v>4655.34</v>
      </c>
      <c r="K44" s="12">
        <v>36</v>
      </c>
      <c r="L44" s="11">
        <v>4.8</v>
      </c>
      <c r="M44" s="11" t="s">
        <v>229</v>
      </c>
      <c r="N44" s="12">
        <f ca="1" t="shared" si="2"/>
        <v>813</v>
      </c>
      <c r="O44" s="11" t="s">
        <v>104</v>
      </c>
    </row>
    <row r="45" spans="1:15">
      <c r="A45" s="11">
        <v>43</v>
      </c>
      <c r="B45" s="12">
        <v>3214</v>
      </c>
      <c r="C45" s="11" t="s">
        <v>230</v>
      </c>
      <c r="D45" s="11" t="s">
        <v>231</v>
      </c>
      <c r="E45" s="11" t="s">
        <v>45</v>
      </c>
      <c r="F45" s="11" t="s">
        <v>102</v>
      </c>
      <c r="G45" s="11">
        <v>658</v>
      </c>
      <c r="H45" s="13">
        <f t="shared" si="0"/>
        <v>21.9333333333333</v>
      </c>
      <c r="I45" s="18">
        <v>5.23</v>
      </c>
      <c r="J45" s="19">
        <f t="shared" si="1"/>
        <v>3441.34</v>
      </c>
      <c r="K45" s="12">
        <v>888</v>
      </c>
      <c r="L45" s="11">
        <v>4.7</v>
      </c>
      <c r="M45" s="11" t="s">
        <v>232</v>
      </c>
      <c r="N45" s="12">
        <f ca="1" t="shared" si="2"/>
        <v>805</v>
      </c>
      <c r="O45" s="11" t="s">
        <v>104</v>
      </c>
    </row>
    <row r="46" spans="1:15">
      <c r="A46" s="11">
        <v>44</v>
      </c>
      <c r="B46" s="12">
        <v>6529</v>
      </c>
      <c r="C46" s="11" t="s">
        <v>233</v>
      </c>
      <c r="D46" s="11" t="s">
        <v>234</v>
      </c>
      <c r="E46" s="11" t="s">
        <v>25</v>
      </c>
      <c r="F46" s="11" t="s">
        <v>102</v>
      </c>
      <c r="G46" s="11">
        <v>656</v>
      </c>
      <c r="H46" s="13">
        <f t="shared" si="0"/>
        <v>21.8666666666667</v>
      </c>
      <c r="I46" s="18">
        <v>8.99</v>
      </c>
      <c r="J46" s="19">
        <f t="shared" si="1"/>
        <v>5897.44</v>
      </c>
      <c r="K46" s="12">
        <v>35</v>
      </c>
      <c r="L46" s="11">
        <v>4.6</v>
      </c>
      <c r="M46" s="11" t="s">
        <v>235</v>
      </c>
      <c r="N46" s="12">
        <f ca="1" t="shared" si="2"/>
        <v>360</v>
      </c>
      <c r="O46" s="11" t="s">
        <v>104</v>
      </c>
    </row>
    <row r="47" spans="1:15">
      <c r="A47" s="11">
        <v>45</v>
      </c>
      <c r="B47" s="12">
        <v>3486</v>
      </c>
      <c r="C47" s="11" t="s">
        <v>236</v>
      </c>
      <c r="D47" s="11" t="s">
        <v>237</v>
      </c>
      <c r="E47" s="11" t="s">
        <v>7</v>
      </c>
      <c r="F47" s="11" t="s">
        <v>102</v>
      </c>
      <c r="G47" s="11">
        <v>644</v>
      </c>
      <c r="H47" s="13">
        <f t="shared" si="0"/>
        <v>21.4666666666667</v>
      </c>
      <c r="I47" s="18">
        <v>9.99</v>
      </c>
      <c r="J47" s="19">
        <f t="shared" si="1"/>
        <v>6433.56</v>
      </c>
      <c r="K47" s="12">
        <v>3680</v>
      </c>
      <c r="L47" s="11">
        <v>4.7</v>
      </c>
      <c r="M47" s="11" t="s">
        <v>238</v>
      </c>
      <c r="N47" s="12">
        <f ca="1" t="shared" si="2"/>
        <v>1148</v>
      </c>
      <c r="O47" s="11" t="s">
        <v>104</v>
      </c>
    </row>
    <row r="48" spans="1:15">
      <c r="A48" s="11">
        <v>46</v>
      </c>
      <c r="B48" s="12">
        <v>2707</v>
      </c>
      <c r="C48" s="11" t="s">
        <v>239</v>
      </c>
      <c r="D48" s="11" t="s">
        <v>240</v>
      </c>
      <c r="E48" s="11" t="s">
        <v>30</v>
      </c>
      <c r="F48" s="11" t="s">
        <v>102</v>
      </c>
      <c r="G48" s="11">
        <v>625</v>
      </c>
      <c r="H48" s="13">
        <f t="shared" si="0"/>
        <v>20.8333333333333</v>
      </c>
      <c r="I48" s="18">
        <v>8.99</v>
      </c>
      <c r="J48" s="19">
        <f t="shared" si="1"/>
        <v>5618.75</v>
      </c>
      <c r="K48" s="12">
        <v>239</v>
      </c>
      <c r="L48" s="11">
        <v>4.7</v>
      </c>
      <c r="M48" s="11" t="s">
        <v>217</v>
      </c>
      <c r="N48" s="12">
        <f ca="1" t="shared" si="2"/>
        <v>299</v>
      </c>
      <c r="O48" s="11" t="s">
        <v>104</v>
      </c>
    </row>
    <row r="49" spans="1:15">
      <c r="A49" s="11">
        <v>47</v>
      </c>
      <c r="B49" s="12">
        <v>6641</v>
      </c>
      <c r="C49" s="11" t="s">
        <v>241</v>
      </c>
      <c r="D49" s="11" t="s">
        <v>242</v>
      </c>
      <c r="E49" s="11" t="s">
        <v>13</v>
      </c>
      <c r="F49" s="11" t="s">
        <v>102</v>
      </c>
      <c r="G49" s="11">
        <v>625</v>
      </c>
      <c r="H49" s="13">
        <f t="shared" si="0"/>
        <v>20.8333333333333</v>
      </c>
      <c r="I49" s="18">
        <v>21.82</v>
      </c>
      <c r="J49" s="19">
        <f t="shared" si="1"/>
        <v>13637.5</v>
      </c>
      <c r="K49" s="12">
        <v>244</v>
      </c>
      <c r="L49" s="11">
        <v>4.4</v>
      </c>
      <c r="M49" s="11" t="s">
        <v>243</v>
      </c>
      <c r="N49" s="12">
        <f ca="1" t="shared" si="2"/>
        <v>477</v>
      </c>
      <c r="O49" s="11" t="s">
        <v>104</v>
      </c>
    </row>
    <row r="50" spans="1:15">
      <c r="A50" s="11">
        <v>48</v>
      </c>
      <c r="B50" s="12">
        <v>4277</v>
      </c>
      <c r="C50" s="11" t="s">
        <v>244</v>
      </c>
      <c r="D50" s="11" t="s">
        <v>245</v>
      </c>
      <c r="E50" s="11" t="s">
        <v>16</v>
      </c>
      <c r="F50" s="11" t="s">
        <v>102</v>
      </c>
      <c r="G50" s="11">
        <v>574</v>
      </c>
      <c r="H50" s="13">
        <f t="shared" si="0"/>
        <v>19.1333333333333</v>
      </c>
      <c r="I50" s="18">
        <v>5.99</v>
      </c>
      <c r="J50" s="19">
        <f t="shared" si="1"/>
        <v>3438.26</v>
      </c>
      <c r="K50" s="12">
        <v>1003</v>
      </c>
      <c r="L50" s="11">
        <v>4.7</v>
      </c>
      <c r="M50" s="11" t="s">
        <v>246</v>
      </c>
      <c r="N50" s="12">
        <f ca="1" t="shared" si="2"/>
        <v>1019</v>
      </c>
      <c r="O50" s="11" t="s">
        <v>104</v>
      </c>
    </row>
    <row r="51" spans="16:16">
      <c r="P51" s="20"/>
    </row>
    <row r="52" spans="16:16">
      <c r="P52" s="20"/>
    </row>
    <row r="53" spans="16:16">
      <c r="P53" s="20"/>
    </row>
    <row r="54" spans="16:16">
      <c r="P54" s="20"/>
    </row>
    <row r="55" spans="16:16">
      <c r="P55" s="20"/>
    </row>
    <row r="56" spans="16:16">
      <c r="P56" s="20"/>
    </row>
    <row r="57" spans="16:16">
      <c r="P57" s="20"/>
    </row>
    <row r="58" spans="16:16">
      <c r="P58" s="20"/>
    </row>
    <row r="59" spans="16:16">
      <c r="P59" s="20"/>
    </row>
    <row r="60" spans="16:16">
      <c r="P60" s="20"/>
    </row>
    <row r="61" spans="16:16">
      <c r="P61" s="20"/>
    </row>
    <row r="62" spans="16:16">
      <c r="P62" s="20"/>
    </row>
    <row r="63" spans="16:16">
      <c r="P63" s="20"/>
    </row>
    <row r="64" spans="16:16">
      <c r="P64" s="20"/>
    </row>
    <row r="65" spans="16:16">
      <c r="P65" s="20"/>
    </row>
    <row r="66" spans="16:16">
      <c r="P66" s="20"/>
    </row>
    <row r="67" spans="16:16">
      <c r="P67" s="20"/>
    </row>
    <row r="68" spans="16:16">
      <c r="P68" s="20"/>
    </row>
    <row r="69" spans="16:16">
      <c r="P69" s="20"/>
    </row>
    <row r="70" spans="16:16">
      <c r="P70" s="20"/>
    </row>
    <row r="71" spans="16:16">
      <c r="P71" s="20"/>
    </row>
    <row r="72" spans="16:16">
      <c r="P72" s="20"/>
    </row>
    <row r="73" spans="16:16">
      <c r="P73" s="20"/>
    </row>
    <row r="74" spans="16:16">
      <c r="P74" s="20"/>
    </row>
    <row r="75" spans="16:16">
      <c r="P75" s="20"/>
    </row>
    <row r="76" spans="16:16">
      <c r="P76" s="20"/>
    </row>
    <row r="77" spans="16:16">
      <c r="P77" s="20"/>
    </row>
    <row r="78" spans="16:16">
      <c r="P78" s="20"/>
    </row>
    <row r="79" spans="16:16">
      <c r="P79" s="20"/>
    </row>
    <row r="80" spans="16:16">
      <c r="P80" s="20"/>
    </row>
    <row r="81" spans="16:16">
      <c r="P81" s="20"/>
    </row>
    <row r="82" spans="16:16">
      <c r="P82" s="20"/>
    </row>
    <row r="83" spans="16:16">
      <c r="P83" s="20"/>
    </row>
    <row r="84" spans="16:16">
      <c r="P84" s="20"/>
    </row>
    <row r="85" spans="16:16">
      <c r="P85" s="20"/>
    </row>
    <row r="86" spans="16:16">
      <c r="P86" s="20"/>
    </row>
    <row r="87" spans="16:16">
      <c r="P87" s="20"/>
    </row>
    <row r="88" spans="16:16">
      <c r="P88" s="20"/>
    </row>
    <row r="89" spans="16:16">
      <c r="P89" s="20"/>
    </row>
    <row r="90" spans="16:16">
      <c r="P90" s="20"/>
    </row>
    <row r="91" spans="16:16">
      <c r="P91" s="20"/>
    </row>
    <row r="92" spans="16:16">
      <c r="P92" s="20"/>
    </row>
    <row r="93" spans="16:16">
      <c r="P93" s="20"/>
    </row>
    <row r="94" spans="16:16">
      <c r="P94" s="20"/>
    </row>
    <row r="95" spans="16:16">
      <c r="P95" s="20"/>
    </row>
    <row r="96" spans="16:16">
      <c r="P96" s="20"/>
    </row>
    <row r="97" spans="16:16">
      <c r="P97" s="20"/>
    </row>
    <row r="98" spans="16:16">
      <c r="P98" s="20"/>
    </row>
    <row r="99" spans="16:16">
      <c r="P99" s="20"/>
    </row>
    <row r="100" spans="16:16">
      <c r="P100" s="20"/>
    </row>
    <row r="101" spans="16:16">
      <c r="P101" s="20"/>
    </row>
    <row r="102" spans="16:16">
      <c r="P102" s="20"/>
    </row>
  </sheetData>
  <autoFilter xmlns:etc="http://www.wps.cn/officeDocument/2017/etCustomData" ref="A2:O5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市场分析</vt:lpstr>
      <vt:lpstr>数据源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cassie</dc:creator>
  <cp:lastModifiedBy>TW</cp:lastModifiedBy>
  <dcterms:created xsi:type="dcterms:W3CDTF">2020-09-22T02:52:00Z</dcterms:created>
  <dcterms:modified xsi:type="dcterms:W3CDTF">2026-07-04T10:30:31Z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567D3AD99D86409AA410ACB91A1B60F2_13</vt:lpwstr>
  </property>
  <property fmtid="{D5CDD505-2E9C-101B-9397-08002B2CF9AE}" pid="4" name="CalculationRule">
    <vt:i4>0</vt:i4>
  </property>
</Properties>
</file>